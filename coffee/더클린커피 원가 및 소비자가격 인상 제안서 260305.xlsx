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 제안 (직제조기준)" sheetId="1" r:id="rId5"/>
    <sheet state="visible" name="원가비교 (깜장커피포함)" sheetId="2" r:id="rId6"/>
    <sheet state="visible" name="경쟁사가격대비" sheetId="3" r:id="rId7"/>
    <sheet state="visible" name="경쟁사분석" sheetId="4" r:id="rId8"/>
    <sheet state="visible" name="(단순)생두원가비교" sheetId="5" r:id="rId9"/>
    <sheet state="visible" name="세부자료(깜장커피)" sheetId="6" r:id="rId10"/>
    <sheet state="visible" name="세부자료(직제조)_현가격" sheetId="7" r:id="rId11"/>
    <sheet state="visible" name="세부자료(직제조)_가격인상건" sheetId="8" r:id="rId12"/>
    <sheet state="visible" name="상세페이지" sheetId="9" r:id="rId13"/>
  </sheets>
  <definedNames/>
  <calcPr/>
</workbook>
</file>

<file path=xl/sharedStrings.xml><?xml version="1.0" encoding="utf-8"?>
<sst xmlns="http://schemas.openxmlformats.org/spreadsheetml/2006/main" count="724" uniqueCount="269">
  <si>
    <t>현재</t>
  </si>
  <si>
    <t>제안</t>
  </si>
  <si>
    <t>더클린커피</t>
  </si>
  <si>
    <t>콜롬비아</t>
  </si>
  <si>
    <t>케냐 블렌드</t>
  </si>
  <si>
    <t>에티오피아</t>
  </si>
  <si>
    <t>과테말라</t>
  </si>
  <si>
    <t>에콰도르
(고가라인)</t>
  </si>
  <si>
    <t>파푸아뉴기니
(유기농)</t>
  </si>
  <si>
    <t>디카페인
(파푸아뉴기니 유기농)</t>
  </si>
  <si>
    <t>소비자가 100g</t>
  </si>
  <si>
    <t xml:space="preserve"> ㄴ생두 원가 (수분증발감안 20%)</t>
  </si>
  <si>
    <t xml:space="preserve"> ㄴ원가비용 (생두 원가 + 부자재 + 배송비)</t>
  </si>
  <si>
    <t xml:space="preserve"> ㄴ 소비자가격 - 원가비용</t>
  </si>
  <si>
    <t xml:space="preserve"> ㄴ 원가율</t>
  </si>
  <si>
    <t>소비자가 200g</t>
  </si>
  <si>
    <t>소비자가 300g (쿠팡)</t>
  </si>
  <si>
    <t>소비자가 340g (쿠팡)</t>
  </si>
  <si>
    <t>소비자가 500g</t>
  </si>
  <si>
    <t>소비자가 1kg</t>
  </si>
  <si>
    <t>OEM</t>
  </si>
  <si>
    <t>고소 저렴</t>
  </si>
  <si>
    <t>산미 중간</t>
  </si>
  <si>
    <t>고가 라인</t>
  </si>
  <si>
    <t>디카페인</t>
  </si>
  <si>
    <t>2월 판매량</t>
  </si>
  <si>
    <t>블랜딩 1</t>
  </si>
  <si>
    <t>블랜딩 2</t>
  </si>
  <si>
    <t>블랜딩 3</t>
  </si>
  <si>
    <t>깜장커피 OEM (현재)</t>
  </si>
  <si>
    <t xml:space="preserve">(변경 원두 라인업) 더클린커피 현재 소비자 가격 적용 </t>
  </si>
  <si>
    <t>원두 변경 &amp; 소비자 가격  인상 제안</t>
  </si>
  <si>
    <t>케냐</t>
  </si>
  <si>
    <t xml:space="preserve"> ㄴ생두 원가 (oem+수분증발감안 20%)</t>
  </si>
  <si>
    <t>소비자가 300g  (쿠팡)</t>
  </si>
  <si>
    <t>원두 종류</t>
  </si>
  <si>
    <t>용량</t>
  </si>
  <si>
    <t>예상 소비자 가격</t>
  </si>
  <si>
    <t>단순 생두 원가</t>
  </si>
  <si>
    <t>비율</t>
  </si>
  <si>
    <t>MOMOS (스페셜티)</t>
  </si>
  <si>
    <t>원두 비용</t>
  </si>
  <si>
    <t>커피리브레 (스페셜티)</t>
  </si>
  <si>
    <t>원두 비용 2</t>
  </si>
  <si>
    <t>그냥커피</t>
  </si>
  <si>
    <t>원두비용</t>
  </si>
  <si>
    <t>마데톨미 (200g)</t>
  </si>
  <si>
    <t>원두 비용 3</t>
  </si>
  <si>
    <t>500g</t>
  </si>
  <si>
    <t>에스쇼콜라(블렌딩)</t>
  </si>
  <si>
    <t>코스타리카</t>
  </si>
  <si>
    <t>콜롬비아 워시드</t>
  </si>
  <si>
    <t>시그니처블렌드</t>
  </si>
  <si>
    <t>모모스 므쵸베리(블렌딩)</t>
  </si>
  <si>
    <t>과테말라 워시드</t>
  </si>
  <si>
    <t>에티오피아 티마 워시드</t>
  </si>
  <si>
    <t>콜롬비아 라 플라타 핑크 버번 워시드</t>
  </si>
  <si>
    <t>페루 게이샤</t>
  </si>
  <si>
    <t>방탄 전용 원두
500g</t>
  </si>
  <si>
    <t>코스타리카 푸엔테 산 안토니아 게이샤 워시드</t>
  </si>
  <si>
    <t>중배전 블렌딩</t>
  </si>
  <si>
    <t>디카페인 에티오피아</t>
  </si>
  <si>
    <t>파푸아뉴기니 디카페인</t>
  </si>
  <si>
    <t>코스타리카 디카페인</t>
  </si>
  <si>
    <t>디카페인 블렌딩</t>
  </si>
  <si>
    <t>디카페인콜롬비아</t>
  </si>
  <si>
    <t>200g 만 판매</t>
  </si>
  <si>
    <t>스페셜티</t>
  </si>
  <si>
    <t xml:space="preserve">건강 타겟 </t>
  </si>
  <si>
    <t>스페셜티 구매처</t>
  </si>
  <si>
    <t>업체명</t>
  </si>
  <si>
    <t>모모스커피</t>
  </si>
  <si>
    <t>https://momos.co.kr/?srsltid=AfmBOopR7l2I4Gfr5Ety32C7LTVym4fv3KcpDZrP0lmA8_Oz2bnFylSw</t>
  </si>
  <si>
    <t>프릳츠</t>
  </si>
  <si>
    <t>https://m.fritz.co.kr/</t>
  </si>
  <si>
    <t>커피리브레</t>
  </si>
  <si>
    <t>https://coffeelibre.kr/product/list.html?cate_no=60</t>
  </si>
  <si>
    <t>베르크</t>
  </si>
  <si>
    <t>https://werk.co.kr/</t>
  </si>
  <si>
    <t>언스페셜티</t>
  </si>
  <si>
    <t>https://unspecialty.com/</t>
  </si>
  <si>
    <t>코스피어</t>
  </si>
  <si>
    <t>https://www.cospir.com/</t>
  </si>
  <si>
    <t>딥블루레이크</t>
  </si>
  <si>
    <t>https://dblcoffee.com/category/shop/24/</t>
  </si>
  <si>
    <t>나무사이로</t>
  </si>
  <si>
    <t>https://namusairo.com/</t>
  </si>
  <si>
    <t>#</t>
  </si>
  <si>
    <t>브랜드명</t>
  </si>
  <si>
    <t>브랜드 소개</t>
  </si>
  <si>
    <t>타겟 고객</t>
  </si>
  <si>
    <t>브랜드 컬러</t>
  </si>
  <si>
    <t>비고</t>
  </si>
  <si>
    <t>스페셜티 커피 브랜드</t>
  </si>
  <si>
    <t>모모스커피
 (Momos Coffee)</t>
  </si>
  <si>
    <t>부산 기반 스페셜티 커피 브랜드.
 SCA 80점 이상 원두만 취급.
 산지 직거래 방식으로 계절·산지별 싱글오리진 운영.</t>
  </si>
  <si>
    <t>• 스페셜티 입문~중급 홈바리스타
 • 20~40대 커피 취향 소비자
 • 품질·산지 정보 중시</t>
  </si>
  <si>
    <t>주요: 크림 화이트 (#FFFFFF)
 포인트: 딥 그린 (#1A3A2A)
 서브: 카키/올리브 (#6B7C5E)</t>
  </si>
  <si>
    <t>부산 직영 카페 7개점 운영.
 코스트코·신세계 입점 유통망 보유.
 국내 스페셜티 브랜드 중 인지도 최상위권</t>
  </si>
  <si>
    <t>커피명가
 (Coffee Myungga)</t>
  </si>
  <si>
    <t>1988년 창업, '한국 스페셜티 커피의 시작'으로 자칭.
 게이샤, 예가체프 등 고급 싱글오리진 중심.
 프랜차이즈·직영 카페 병행 운영.</t>
  </si>
  <si>
    <t>• 스페셜티 원두 경험 있는 성인 소비자
 • 선물용 구매자
 • 40~60대 포함 넓은 연령층</t>
  </si>
  <si>
    <t>주요: 딥 브라운 (#3B2314)
 포인트: 골드 (#C8A951)
 서브: 아이보리 (#FAF6F0)</t>
  </si>
  <si>
    <t>대구 기반, 1988년 설립 노포 브랜드.
 프랜차이즈(커피명가 카페) 전국 운영.
 스페셜티 인증 원두 취급 강조</t>
  </si>
  <si>
    <t>커피리브레
  (Coffee Libre)</t>
  </si>
  <si>
    <t>한국 최초 큐그레이더(Q-Grader) 서필훈 대표 창업(2009).
  15개국 250개 농가 직거래, 연 생두 1,600톤 취급.
  B Corp 윤리 인증 획득.
  니카라과 자체 농장(Finca Libre) 직접 운영.</t>
  </si>
  <si>
    <t>• 스페셜티 커피 마니아 및 전문 바리스타
  • 윤리적 소비·직거래 가치 중시 소비자
  • 20~40대 커피 문화 관심층</t>
  </si>
  <si>
    <t>주요: 화이트 (#FFFFFF)
  포인트: 레슬러 레드 (#E63946)
  서브: 블랙 (#1A1A1A)</t>
  </si>
  <si>
    <t>서울 5개 매장 운영 (연남·명동·여의도 등).
  이마트 피코크 PB 원두 공급.
  주간 아카이브 업데이트·도서 번역 등 교육 콘텐츠 강점.
  2024 니카라과 CoE 3·9위 입상.</t>
  </si>
  <si>
    <t>프릳츠
  (Fritz Coffee)</t>
  </si>
  <si>
    <t>2014년 박근하 외 4인 공동 창업.
  물개 캐릭터·한글 로고 독자 브랜딩.
  커피+베이커리 결합 공간 모델.
  전국 1,300개 카페 원두 B2B 공급.</t>
  </si>
  <si>
    <t>• 브랜드 감성 중시 20~30대 소비자
  • 홈카페 원두 정기 구독자
  • 스페셜티 입문층</t>
  </si>
  <si>
    <t>주요: 오프 화이트 (#FAF9F6)
  포인트: 딥 네이비 (#1A1A2E)
  서브: 크림 (#F5ECD7)</t>
  </si>
  <si>
    <t>2024년 연 매출 165억원 (감사보고서 기준).
  7개 직영 매장 운영 (2025 기준).
  2025년 미국 LA·일본 오사카 팝업 진출.
  커피 업계 브랜딩 모범사례로 미디어 빈번 인용.</t>
  </si>
  <si>
    <t>말릭커피
  (Malik Coffee)</t>
  </si>
  <si>
    <t>서울 망원동 기반 스페셜티 카페.
  헐리우드 배우 젠다이아(Zendaya) 방문으로 글로벌 SNS 바이럴.
  창작 시그니처 메뉴 강점.
  외국인 관광객 유입 핫플레이스.</t>
  </si>
  <si>
    <t>• SNS·트렌드 관심 MZ 소비자
  • 외국인 관광객 및 인플루언서
  • 경험·공간 중심 소비자</t>
  </si>
  <si>
    <t>-</t>
  </si>
  <si>
    <t>단일 매장 운영 (망원동).
  2025 카페쇼 참가.
  창업연도·창업자 등 공식 정보 비공개.
  브랜드 스토리·지속가능성 불확실.</t>
  </si>
  <si>
    <t>올웨이즈 어거스트
  (Always August)</t>
  </si>
  <si>
    <t>서울 망원동 기반 신흥 스페셜티 로스터리 카페.
  2025 카페쇼 복수 공간 동시 출연.
  모모스커피·라마르조코·언스페셜티 등 협업 다수.
  업계 내 빠른 네트워크 확장 중.</t>
  </si>
  <si>
    <t>• 스페셜티 커피 마니아·바리스타
  • 업계 관계자 및 B2B 거래처
  • 20~30대 커피 씬 관심층</t>
  </si>
  <si>
    <t>단일 매장 운영 추정 (망원동).
  2025 카페쇼에서 라마르조코·모모스 협업으로 주목.
  언스페셜티 유튜브 콜라보 참여.
  창업자 등 공식 정보 비공개.</t>
  </si>
  <si>
    <t>베르크
  (Berg)</t>
  </si>
  <si>
    <t>부산 기반 신흥 스페셜티 로스터리.
  모모스 이후 부산 스페셜티 씬의 신흥 대표 브랜드.
  2025 카페쇼 커피 앨리 참가, '부산 신흥 강자'로 평가.
  안정적 품질·라인업으로 전문가 인정.</t>
  </si>
  <si>
    <t>• 부산 지역 스페셜티 커피 소비자
  • 스페셜티 품질 중시 마니아층
  • 20~40대 커피 취향 소비자</t>
  </si>
  <si>
    <t>부산 1~2개 매장 운영 추정.
  2025 카페쇼에서 콜롬비아 엘 트리운포 수단 루메 선보여 호평.
  창업자·정확한 매장수 공개 정보 없음.
  서울 시장 확장 여부 불분명.</t>
  </si>
  <si>
    <t>블루보틀
  (Blue Bottle Coffee)</t>
  </si>
  <si>
    <t>2002년 미국 오클랜드에서 제임스 프리먼 창업.
  '커피계의 애플'로 불리는 글로벌 스페셜티 브랜드.
  한국에는 2019년 첫 매장 오픈 (성수동).
  유기농 인증 원두 중심, 미니멀 브랜딩으로 국내 스페셜티 대중화에 기여.</t>
  </si>
  <si>
    <t>• 스페셜티 커피 입문층 (브랜드 인지도 기반)
  • 감성·미니멀 라이프스타일 추구 20~40대
  • 외국인 관광객 및 글로벌 브랜드 선호 소비자</t>
  </si>
  <si>
    <t>주요: 하늘색 (#5BC8F5)
  서브: 화이트 (#FFFFFF)
  포인트: 블랙 (#1A1A1A)</t>
  </si>
  <si>
    <t>한국 직영 카페 9개점 운영 (성수·삼청·청담·한남 등).
  한국 공식 온라인몰(kr.bluebottlecoffee.com) 운영.
  마켓컬리·쿠팡 등 국내 주요 유통채널 입점.
  네슬레(Nestlé)가 2017년 지분 인수, 2021년 과반 취득.</t>
  </si>
  <si>
    <t xml:space="preserve">• 스페셜티 브랜드(모모스·커피리브레·프릳츠)는 '맛·기술·브랜딩' 축으로 경쟁 → 더클린커피의 건강·안전 검증에 맛,기술,브랜딩을 더하는 방향으로 가고자함
• 말릭·올웨이즈어거스트·베르크는 단일 매장 중심, 원두 유통 규모 미미 → 더클린커피 온라인 원두 판매와 직접 충돌 없음.
</t>
  </si>
  <si>
    <t>건강/안전성 소구 커피 브랜드 경쟁사 분석</t>
  </si>
  <si>
    <t>핵심 포지셔닝</t>
  </si>
  <si>
    <t>타깃 고객</t>
  </si>
  <si>
    <t>안전성 검증 항목</t>
  </si>
  <si>
    <t>비고 / 전략적 시사점</t>
  </si>
  <si>
    <t>건강/독소프리 커피 브랜드 (직접 경쟁)</t>
  </si>
  <si>
    <t>더클린커피
 (The Clean Coffee)</t>
  </si>
  <si>
    <t>오크라톡신A 제3자 검사 성적서 공개
 '두통 없는 커피' / 방탄커피 전용</t>
  </si>
  <si>
    <t>방탄커피·저탄고지 식단 실천자
 건강 민감 소비자 (20~40대)
 키토제닉 다이어터</t>
  </si>
  <si>
    <t>✅ 오크라톡신A (곰팡이독소)
 제3자 검사기관 성적서 공개
 ❌ 발암물질·잔류농약·중금속
 (검사 미시행)</t>
  </si>
  <si>
    <t>화이트 #FFFFFF
 그린 #4CAF50
 다크그린 #2E7D32</t>
  </si>
  <si>
    <t>자사 운영사: ㈜팀키토 (서울 강서)
 이중 핸드픽 + 고산지 싱글오리진 강조
 가격 경쟁력 있음
 검증 항목은 경쟁사 대비 협소</t>
  </si>
  <si>
    <t>그냥커피
 (Just Coffee / Geu Nyang)</t>
  </si>
  <si>
    <t>독소FREE 방탄커피 전용 원두'
 Low-Temp Roast / Clean Bean
 방탄커피 번들 구성 판매</t>
  </si>
  <si>
    <t>방탄커피 실천자
 저탄고지·키토제닉 식단 운동자
 홈카페 건강 소비자</t>
  </si>
  <si>
    <t>✅ 곰팡이독소 (독소프리 표방)
 ⚠️ 검사 성적서 공개 여부
 불명확 (확인 필요)
 ❌ 발암물질·잔류농약·중금속</t>
  </si>
  <si>
    <t>화이트 #FFFFFF
 연두 #A8D5A2
 블랙 #1A1A1A</t>
  </si>
  <si>
    <t>운영사: ㈜다빈 (부산 중구)
 자사몰(koreanocoffee.com)
 + 스마트스토어 병행
 버터·MCT오일 번들 판매로 객단가 ↑
 검증 신뢰도는 더클린커피 대비 낮음</t>
  </si>
  <si>
    <t>마데톨미
 (mdtm / Body Offering)</t>
  </si>
  <si>
    <t>과학자가 만든 커피'
 충남대 이계호 명예교수
 + 국제공인 한국분석기술연구소
 6년 개발, 5 PASS COFFEE</t>
  </si>
  <si>
    <t>건강·식품안전 민감 소비자
 중장년층 (이계호 교수 팬덤)
 유퀴즈 시청자층
 프리미엄 건강식품 구매자</t>
  </si>
  <si>
    <t>✅ 곰팡이독소 (Aflatoxin, Ochratoxin)
 ✅ 발암물질 (Acrylamide, Benzo[a]pyrene)
 ✅ 잔류농약
 ✅ 중금속 (Cd·Pb)
 ✅ 탄소저감
 → 5개 시험성적서 전부 공개</t>
  </si>
  <si>
    <t>화이트 #FFFFFF
 블랙 #1A1A1A
 올리브그린 #7AB648</t>
  </si>
  <si>
    <t>출시: 2024년 5월
 유통: 비아01 총괄
 SSG·11번가 입점
 5개 검사항목으로 가장 넓은 안전성 커버
 단, 가격이 더클린커피 대비 1.5~2배 고가
 유명인 의존도 높아 리스크 존재</t>
  </si>
  <si>
    <t>Bulletproof Coffee
 (불렛프루프 커피)</t>
  </si>
  <si>
    <t>2012년 데이브 아스프리(Dave Asprey) 설립, 미국 브랜드.
 '곰팡이독소 없는 커피' 개념의 원조.
 오크라톡신A 미검출 기준의 '클린 빈' 개념 정립.</t>
  </si>
  <si>
    <t>• 바이오해킹·고성능 라이프스타일 추구자
 • 저탄고지·키토제닉 식단 실천자
 • 방탄커피 문화 수용층
 • 주 구매층: 30~40대 직장인·CEO</t>
  </si>
  <si>
    <t>주요: 블랙 (#000000)
 포인트: 옐로우 (#FFD700)
 서브: 화이트 (#FFFFFF)</t>
  </si>
  <si>
    <t>한국 공식 유통 여부 불명확(직구 위주).
 더클린커피가 이 브랜드의 기준을 벤치마킹해 국산화.
 원조 브랜드이나 국내 시장 직접 침투도 낮음.</t>
  </si>
  <si>
    <t>슈퍼블랙커피
 (Super Black Coffee)</t>
  </si>
  <si>
    <t>국내 건강 기능성 커피 브랜드.
 유기농 아라비카 원두 사용, HACCP 인증.
 '깨끗한 원두' 콘셉트로 건강 소비자 공략.</t>
  </si>
  <si>
    <t>• 유기농·건강식품 관심 소비자
 • 다이어트·건강 관리 중인 성인
 • 20~40대 건강 지향 소비자</t>
  </si>
  <si>
    <t>주요: 블랙 (#1C1C1C)
 포인트: 그린 (#2E7D32)
 서브: 화이트 (#FFFFFF)</t>
  </si>
  <si>
    <t>전략적 시사점 요약</t>
  </si>
  <si>
    <t>• 검증 범위: 마데톨미(5항목) &gt; 더클린커피(1항목, 오크라톡신A) &gt; 그냥커피(불명확)
 • 가격 포지션: 더클린커피·그냥커피(중가 18,000~20,000원) vs 마데톨미(고가, 25,000~34,000원)
 • 더클린커피의 기회: 검증 항목 확대(발암물질·잔류농약·중금속 추가) 시 마데톨미 대비 가격 경쟁력 확보 가능
 • 공통 타깃: 3개 브랜드 모두 방탄커피/저탄고지/건강 민감 소비자 → 세분화된 포지셔닝 필요</t>
  </si>
  <si>
    <t>원가 구분</t>
  </si>
  <si>
    <t>소비자가 (원)</t>
  </si>
  <si>
    <t>원가비용 (원)</t>
  </si>
  <si>
    <t>OEM비용 (원)</t>
  </si>
  <si>
    <t>원가비용(원)</t>
  </si>
  <si>
    <t>순수 생두 원가율 (%)</t>
  </si>
  <si>
    <t>생두 종류</t>
  </si>
  <si>
    <t>생두비용 ( kg )</t>
  </si>
  <si>
    <t>200g</t>
  </si>
  <si>
    <t>현재 (깜장커피)</t>
  </si>
  <si>
    <t>콜롬비아 후일라/나리노 (프리미엄/커머셜)</t>
  </si>
  <si>
    <t>직제조</t>
  </si>
  <si>
    <t>직제조 원가</t>
  </si>
  <si>
    <t>콜롬비아 타비/치로소 블렌딩 (스페셜티)</t>
  </si>
  <si>
    <t>케냐  레드마운틴 (스페셜티)</t>
  </si>
  <si>
    <t>케냐 캉고초/카구뉴 블렌딩 (스페셜티)</t>
  </si>
  <si>
    <t>에티오피아 할로베리티 G1 (스페셜티)</t>
  </si>
  <si>
    <t>에티오피아 티마 워시드 G1 (스페셜티)</t>
  </si>
  <si>
    <t>과테말라 디카페인</t>
  </si>
  <si>
    <t>과테말라 SHB 디카페인 MW</t>
  </si>
  <si>
    <t>파푸아뉴기니 유기농 디카페인</t>
  </si>
  <si>
    <t>과테말라 산타모니카 (스페셜티) 2024crop</t>
  </si>
  <si>
    <t>과테말라  쿠에비타스 (스페셜티)</t>
  </si>
  <si>
    <t>비고:생두 를 로스팅 하였을때 익으며 증발되는 수분 있음. 이는 로스팅포인트,로스팅 프로파일에 따라 달라짐. 평균값 약85% 
예시: 생두 1KG → 원두 850G / 비용 15% 증가. 증가비용 이 녹아있음 .&lt;&lt;핸드픽 용량 합산하지 않음&gt;&gt;</t>
  </si>
  <si>
    <t>OEM 비용: 1KG 당 4500원. 100G 기준 으로 환산함</t>
  </si>
  <si>
    <t>■ 원가정보
(kg)</t>
  </si>
  <si>
    <t>No</t>
  </si>
  <si>
    <t>구분</t>
  </si>
  <si>
    <t>콜롬비아 나리노 수프리모</t>
  </si>
  <si>
    <t>케냐 레드 마운틴 AA</t>
  </si>
  <si>
    <t>에티오피아 예가체프 할로 베라티 워시드 G1</t>
  </si>
  <si>
    <t>과테말라 안티구아 디카페인</t>
  </si>
  <si>
    <t>과테말라 산타 모니카 SHB</t>
  </si>
  <si>
    <t>생두비용</t>
  </si>
  <si>
    <t>로스팅비용</t>
  </si>
  <si>
    <t>커피 생산비용(로스율 반영)</t>
  </si>
  <si>
    <t>커피 인건비(파트타이머)</t>
  </si>
  <si>
    <t>감가상각비</t>
  </si>
  <si>
    <t>공통</t>
  </si>
  <si>
    <t>제반비용(옵션제외)</t>
  </si>
  <si>
    <t xml:space="preserve"> -택배비(CJ)</t>
  </si>
  <si>
    <t xml:space="preserve"> -택배 박스(size)</t>
  </si>
  <si>
    <t xml:space="preserve"> -완충제</t>
  </si>
  <si>
    <t xml:space="preserve"> -박스테이프</t>
  </si>
  <si>
    <t xml:space="preserve"> -리플렛(더클린커피)</t>
  </si>
  <si>
    <t>옵션:집게</t>
  </si>
  <si>
    <t xml:space="preserve"> -집게</t>
  </si>
  <si>
    <t>옵션:드립백 1BOX</t>
  </si>
  <si>
    <t xml:space="preserve"> -원두</t>
  </si>
  <si>
    <t xml:space="preserve"> -드립백호일(외주)</t>
  </si>
  <si>
    <t xml:space="preserve"> -드립백 제조비용</t>
  </si>
  <si>
    <t xml:space="preserve"> -드립백단상자</t>
  </si>
  <si>
    <t>소 계</t>
  </si>
  <si>
    <t>옵션:드립백 선물세트</t>
  </si>
  <si>
    <t>선물세트 합계</t>
  </si>
  <si>
    <t xml:space="preserve"> -드립백4종세트쇼핑백</t>
  </si>
  <si>
    <t xml:space="preserve"> -드립백4종세트아웃박스</t>
  </si>
  <si>
    <t>옵션:원두중량</t>
  </si>
  <si>
    <t xml:space="preserve"> -커피봉투(100g)</t>
  </si>
  <si>
    <t xml:space="preserve"> -틴타이(소)</t>
  </si>
  <si>
    <t xml:space="preserve"> -커피봉투(200g)</t>
  </si>
  <si>
    <t xml:space="preserve"> -틴타이(중)</t>
  </si>
  <si>
    <t xml:space="preserve"> -커피봉투(300g)</t>
  </si>
  <si>
    <t xml:space="preserve"> -커피봉투(340g)</t>
  </si>
  <si>
    <t xml:space="preserve"> -틴타이(대)</t>
  </si>
  <si>
    <t xml:space="preserve"> -커피봉투(500g)</t>
  </si>
  <si>
    <t xml:space="preserve"> -기타(인쇄물)</t>
  </si>
  <si>
    <t>원가합계</t>
  </si>
  <si>
    <t>콜</t>
  </si>
  <si>
    <t>케</t>
  </si>
  <si>
    <t>에</t>
  </si>
  <si>
    <t>디</t>
  </si>
  <si>
    <t>과</t>
  </si>
  <si>
    <t xml:space="preserve"> ㄴ원두비용(환산)</t>
  </si>
  <si>
    <t xml:space="preserve"> ㄴ원가비용</t>
  </si>
  <si>
    <t xml:space="preserve"> ㄴ 순수익</t>
  </si>
  <si>
    <t>소비자가</t>
  </si>
  <si>
    <t>콜롬비아 블렌드</t>
  </si>
  <si>
    <t>케냐 블랜드</t>
  </si>
  <si>
    <t>에티오피아 웨시 티마 워시드 G1</t>
  </si>
  <si>
    <t>과테말라 쿠에비타스 SHB</t>
  </si>
  <si>
    <t>에콰도르 시드라 루그마파타 시드라 #29 워시드</t>
  </si>
  <si>
    <t>유기농 파푸아뉴기니 워시드</t>
  </si>
  <si>
    <t>유기농 파푸아뉴기니 워시드 S/W 디카프</t>
  </si>
  <si>
    <t>원두 1kg 생산비용(로스율 반영)</t>
  </si>
  <si>
    <t xml:space="preserve"> -택배비(로젠)</t>
  </si>
  <si>
    <t>옵션:드립백</t>
  </si>
  <si>
    <t>에티</t>
  </si>
  <si>
    <t>과테</t>
  </si>
  <si>
    <t>에콰도르</t>
  </si>
  <si>
    <t>파푸아</t>
  </si>
  <si>
    <t>X</t>
  </si>
  <si>
    <t>블루보틀</t>
  </si>
  <si>
    <t>**홈페이지 주소**</t>
  </si>
  <si>
    <t>https://kr.bluebottlecoffee.com/?srsltid=AfmBOorpYXt8u7aoR6Mz-gafIbH8klqwP-kR4XXf9Fe-Mr13dtDK83SV</t>
  </si>
  <si>
    <t>https://momos.co.kr/?srsltid=AfmBOoqjPvslcONp-8y2Bj9-C785RXUp8Cp07yvioc00EYjE-ojdDx4t</t>
  </si>
  <si>
    <t>상세페이지</t>
  </si>
  <si>
    <t xml:space="preserve">상세페이지 제안 </t>
  </si>
  <si>
    <t>https://www.notion.so/3261a1c96f968034af19ed27d4a0349f</t>
  </si>
  <si>
    <t>가이드 링크</t>
  </si>
  <si>
    <r>
      <rPr>
        <color rgb="FF1155CC"/>
        <u/>
      </rPr>
      <t>https://loquacious-travesseiro-e6f6b8.netlify.app/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</si>
</sst>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0.0%"/>
  </numFmts>
  <fonts count="53">
    <font>
      <sz val="10.0"/>
      <color rgb="FF000000"/>
      <name val="Arial"/>
      <scheme val="minor"/>
    </font>
    <font>
      <b/>
      <sz val="12.0"/>
      <color rgb="FF000000"/>
      <name val="Aptos Narrow"/>
    </font>
    <font>
      <b/>
      <sz val="18.0"/>
      <color rgb="FF000000"/>
      <name val="Arial"/>
    </font>
    <font/>
    <font>
      <b/>
      <sz val="12.0"/>
      <color rgb="FF000000"/>
      <name val="Arial"/>
      <scheme val="minor"/>
    </font>
    <font>
      <color rgb="FF000000"/>
      <name val="Arial"/>
      <scheme val="minor"/>
    </font>
    <font>
      <b/>
      <sz val="16.0"/>
      <color rgb="FF000000"/>
      <name val="Arial"/>
    </font>
    <font>
      <b/>
      <sz val="12.0"/>
      <color rgb="FF000000"/>
      <name val="Malgun Gothic"/>
    </font>
    <font>
      <b/>
      <sz val="12.0"/>
      <color rgb="FF000000"/>
      <name val="Arial"/>
    </font>
    <font>
      <b/>
      <sz val="11.0"/>
      <color rgb="FF000000"/>
      <name val="Malgun Gothic"/>
    </font>
    <font>
      <b/>
      <color rgb="FF000000"/>
      <name val="Malgun Gothic"/>
    </font>
    <font>
      <sz val="11.0"/>
      <color rgb="FF000000"/>
      <name val="Malgun Gothic"/>
    </font>
    <font>
      <b/>
      <sz val="18.0"/>
      <color rgb="FF000000"/>
      <name val="Arial"/>
      <scheme val="minor"/>
    </font>
    <font>
      <b/>
      <color rgb="FF000000"/>
      <name val="Arial"/>
      <scheme val="minor"/>
    </font>
    <font>
      <b/>
      <sz val="20.0"/>
      <color rgb="FF000000"/>
      <name val="Arial"/>
    </font>
    <font>
      <sz val="11.0"/>
      <color theme="1"/>
      <name val="Aptos Narrow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Arial"/>
      <scheme val="minor"/>
    </font>
    <font>
      <color rgb="FF000000"/>
      <name val="Roboto"/>
    </font>
    <font>
      <color rgb="FF434343"/>
      <name val="Roboto"/>
    </font>
    <font>
      <color theme="1"/>
      <name val="Arial"/>
    </font>
    <font>
      <b/>
      <sz val="15.0"/>
      <color rgb="FF000000"/>
      <name val="Arial"/>
      <scheme val="minor"/>
    </font>
    <font>
      <u/>
      <color rgb="FF0000FF"/>
    </font>
    <font>
      <sz val="12.0"/>
      <color rgb="FF000000"/>
      <name val="Arial"/>
    </font>
    <font>
      <b/>
      <sz val="14.0"/>
      <color rgb="FF000000"/>
      <name val="Arial"/>
    </font>
    <font>
      <sz val="12.0"/>
      <color theme="1"/>
      <name val="Arial"/>
      <scheme val="minor"/>
    </font>
    <font>
      <b/>
      <sz val="18.0"/>
      <color rgb="FFFFFFFF"/>
      <name val="Arial"/>
    </font>
    <font>
      <sz val="12.0"/>
      <color rgb="FF1A1A2E"/>
      <name val="Arial"/>
    </font>
    <font>
      <sz val="12.0"/>
      <color rgb="FF1A1A2E"/>
      <name val="&quot;Noto Sans CJK SC&quot;"/>
    </font>
    <font>
      <sz val="12.0"/>
      <color rgb="FF2C3E50"/>
      <name val="&quot;Noto Sans CJK SC&quot;"/>
    </font>
    <font>
      <sz val="12.0"/>
      <color rgb="FF2C3E50"/>
      <name val="Arial"/>
    </font>
    <font>
      <b/>
      <sz val="17.0"/>
      <color rgb="FFFFFFFF"/>
      <name val="&quot;Noto Sans CJK SC&quot;"/>
    </font>
    <font>
      <sz val="12.0"/>
      <color rgb="FF000000"/>
      <name val="&quot;맑은 고딕&quot;"/>
    </font>
    <font>
      <sz val="12.0"/>
      <color rgb="FF000000"/>
      <name val="&quot;Noto Sans CJK SC&quot;"/>
    </font>
    <font>
      <b/>
      <sz val="12.0"/>
      <color rgb="FF1A1A2E"/>
      <name val="&quot;Noto Sans CJK SC&quot;"/>
    </font>
    <font>
      <b/>
      <sz val="12.0"/>
      <color rgb="FF333333"/>
      <name val="Arial"/>
    </font>
    <font>
      <b/>
      <sz val="12.0"/>
      <color rgb="FF333333"/>
      <name val="&quot;Noto Sans CJK SC&quot;"/>
    </font>
    <font>
      <sz val="12.0"/>
      <color rgb="FF333333"/>
      <name val="Arial"/>
    </font>
    <font>
      <sz val="12.0"/>
      <color rgb="FF333333"/>
      <name val="&quot;Noto Sans CJK SC&quot;"/>
    </font>
    <font>
      <sz val="12.0"/>
      <color rgb="FFE0E0E0"/>
      <name val="&quot;Noto Sans CJK SC&quot;"/>
    </font>
    <font>
      <sz val="12.0"/>
      <color rgb="FF222222"/>
      <name val="Arial"/>
    </font>
    <font>
      <b/>
      <color theme="1"/>
      <name val="Arial"/>
      <scheme val="minor"/>
    </font>
    <font>
      <b/>
      <sz val="12.0"/>
      <color theme="1"/>
      <name val="Malgun Gothic"/>
    </font>
    <font>
      <sz val="11.0"/>
      <color rgb="FFFF0000"/>
      <name val="Malgun Gothic"/>
    </font>
    <font>
      <b/>
      <color theme="1"/>
      <name val="Malgun Gothic"/>
    </font>
    <font>
      <color theme="1"/>
      <name val="Malgun Gothic"/>
    </font>
    <font>
      <color rgb="FFFF0000"/>
      <name val="Malgun Gothic"/>
    </font>
    <font>
      <b/>
      <sz val="11.0"/>
      <color rgb="FFFF0000"/>
      <name val="Malgun Gothic"/>
    </font>
    <font>
      <b/>
      <color rgb="FFFF0000"/>
      <name val="Malgun Gothic"/>
    </font>
    <font>
      <b/>
      <color rgb="FF00B0F0"/>
      <name val="Malgun Gothic"/>
    </font>
    <font>
      <u/>
      <color rgb="FF0000FF"/>
      <name val="Roboto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BE9F7"/>
        <bgColor rgb="FFDBE9F7"/>
      </patternFill>
    </fill>
    <fill>
      <patternFill patternType="solid">
        <fgColor rgb="FFE06666"/>
        <bgColor rgb="FFE06666"/>
      </patternFill>
    </fill>
    <fill>
      <patternFill patternType="solid">
        <fgColor rgb="FFFAE2D5"/>
        <bgColor rgb="FFFAE2D5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F3460"/>
        <bgColor rgb="FF0F3460"/>
      </patternFill>
    </fill>
    <fill>
      <patternFill patternType="solid">
        <fgColor rgb="FFFFF2CC"/>
        <bgColor rgb="FFFFF2CC"/>
      </patternFill>
    </fill>
    <fill>
      <patternFill patternType="solid">
        <fgColor rgb="FF16213E"/>
        <bgColor rgb="FF16213E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FC000"/>
        <bgColor rgb="FFFFC000"/>
      </patternFill>
    </fill>
  </fills>
  <borders count="5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4791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8D0DC"/>
      </left>
      <top style="thin">
        <color rgb="FFC8D0DC"/>
      </top>
      <bottom style="thin">
        <color rgb="FFC8D0DC"/>
      </bottom>
    </border>
    <border>
      <top style="thin">
        <color rgb="FFC8D0DC"/>
      </top>
      <bottom style="thin">
        <color rgb="FFC8D0DC"/>
      </bottom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ck">
        <color rgb="FF00B0F0"/>
      </left>
      <right style="thin">
        <color rgb="FF000000"/>
      </right>
      <top style="thick">
        <color rgb="FF00B0F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B0F0"/>
      </top>
      <bottom style="thin">
        <color rgb="FF000000"/>
      </bottom>
    </border>
    <border>
      <left style="thin">
        <color rgb="FF000000"/>
      </left>
      <right style="thick">
        <color rgb="FF00B0F0"/>
      </right>
      <top style="thick">
        <color rgb="FF00B0F0"/>
      </top>
      <bottom style="thin">
        <color rgb="FF000000"/>
      </bottom>
    </border>
    <border>
      <left style="thick">
        <color rgb="FF00B0F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B0F0"/>
      </right>
      <top style="thin">
        <color rgb="FF000000"/>
      </top>
      <bottom style="thin">
        <color rgb="FF000000"/>
      </bottom>
    </border>
    <border>
      <left style="thick">
        <color rgb="FF00B0F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B0F0"/>
      </right>
      <top style="thin">
        <color rgb="FF000000"/>
      </top>
    </border>
    <border>
      <left style="thick">
        <color rgb="FF00B0F0"/>
      </left>
      <right style="thin">
        <color rgb="FF000000"/>
      </right>
      <top style="thin">
        <color rgb="FF000000"/>
      </top>
      <bottom style="thick">
        <color rgb="FF45B0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5B0E1"/>
      </bottom>
    </border>
    <border>
      <left style="thin">
        <color rgb="FF000000"/>
      </left>
      <right style="thick">
        <color rgb="FF00B0F0"/>
      </right>
      <top style="thin">
        <color rgb="FF000000"/>
      </top>
      <bottom/>
    </border>
    <border>
      <left/>
      <right style="thin">
        <color rgb="FF000000"/>
      </right>
      <top/>
      <bottom style="thick">
        <color rgb="FF00B0F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ck">
        <color rgb="FF45B0E1"/>
      </top>
      <bottom style="thick">
        <color rgb="FF00B0F0"/>
      </bottom>
    </border>
    <border>
      <left style="thin">
        <color rgb="FF000000"/>
      </left>
      <right style="thick">
        <color rgb="FF00B0F0"/>
      </right>
      <top style="thick">
        <color rgb="FF00B0F0"/>
      </top>
    </border>
    <border>
      <left style="thin">
        <color rgb="FF000000"/>
      </left>
      <right style="thick">
        <color rgb="FF00B0F0"/>
      </right>
    </border>
    <border>
      <left style="thin">
        <color rgb="FF000000"/>
      </left>
      <right style="thick">
        <color rgb="FF00B0F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B0F0"/>
      </right>
      <top style="thin">
        <color rgb="FF000000"/>
      </top>
      <bottom style="thick">
        <color rgb="FF45B0E1"/>
      </bottom>
    </border>
    <border>
      <left style="thin">
        <color rgb="FF000000"/>
      </left>
      <right style="thin">
        <color rgb="FF000000"/>
      </right>
      <top style="thick">
        <color rgb="FF45B0E1"/>
      </top>
      <bottom style="thick">
        <color theme="5"/>
      </bottom>
    </border>
    <border>
      <left style="thin">
        <color rgb="FF000000"/>
      </left>
      <right/>
      <top/>
      <bottom/>
    </border>
    <border>
      <left style="thick">
        <color theme="5"/>
      </left>
      <right style="thin">
        <color rgb="FF000000"/>
      </right>
      <top style="thick">
        <color theme="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theme="5"/>
      </top>
      <bottom style="thin">
        <color rgb="FF000000"/>
      </bottom>
    </border>
    <border>
      <left style="thin">
        <color rgb="FF000000"/>
      </left>
      <right style="thick">
        <color theme="5"/>
      </right>
      <top style="thick">
        <color theme="5"/>
      </top>
      <bottom style="thin">
        <color rgb="FF000000"/>
      </bottom>
    </border>
    <border>
      <left style="thick">
        <color theme="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theme="5"/>
      </right>
      <top style="thin">
        <color rgb="FF000000"/>
      </top>
      <bottom style="thin">
        <color rgb="FF000000"/>
      </bottom>
    </border>
    <border>
      <left style="thick">
        <color theme="5"/>
      </left>
      <right style="thin">
        <color rgb="FF000000"/>
      </right>
      <top style="thin">
        <color rgb="FF000000"/>
      </top>
      <bottom style="thick">
        <color theme="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5"/>
      </bottom>
    </border>
    <border>
      <left style="thin">
        <color rgb="FF000000"/>
      </left>
      <right style="thick">
        <color theme="5"/>
      </right>
      <top style="thin">
        <color rgb="FF000000"/>
      </top>
      <bottom style="thick">
        <color theme="5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164" xfId="0" applyFill="1" applyFont="1" applyNumberFormat="1"/>
    <xf borderId="1" fillId="2" fontId="2" numFmtId="164" xfId="0" applyAlignment="1" applyBorder="1" applyFont="1" applyNumberForma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4" numFmtId="0" xfId="0" applyFont="1"/>
    <xf borderId="0" fillId="2" fontId="5" numFmtId="0" xfId="0" applyFont="1"/>
    <xf borderId="4" fillId="2" fontId="6" numFmtId="164" xfId="0" applyAlignment="1" applyBorder="1" applyFont="1" applyNumberFormat="1">
      <alignment horizontal="center" readingOrder="0" vertical="center"/>
    </xf>
    <xf borderId="5" fillId="2" fontId="1" numFmtId="164" xfId="0" applyBorder="1" applyFont="1" applyNumberFormat="1"/>
    <xf borderId="5" fillId="2" fontId="7" numFmtId="164" xfId="0" applyAlignment="1" applyBorder="1" applyFont="1" applyNumberFormat="1">
      <alignment horizontal="center" vertical="center"/>
    </xf>
    <xf borderId="5" fillId="2" fontId="7" numFmtId="164" xfId="0" applyAlignment="1" applyBorder="1" applyFont="1" applyNumberFormat="1">
      <alignment horizontal="center" readingOrder="0" vertical="center"/>
    </xf>
    <xf borderId="5" fillId="2" fontId="8" numFmtId="164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5" fillId="3" fontId="9" numFmtId="164" xfId="0" applyAlignment="1" applyBorder="1" applyFill="1" applyFont="1" applyNumberFormat="1">
      <alignment horizontal="center"/>
    </xf>
    <xf borderId="5" fillId="3" fontId="9" numFmtId="164" xfId="0" applyAlignment="1" applyBorder="1" applyFont="1" applyNumberFormat="1">
      <alignment horizontal="center" readingOrder="0"/>
    </xf>
    <xf borderId="5" fillId="2" fontId="10" numFmtId="164" xfId="0" applyAlignment="1" applyBorder="1" applyFont="1" applyNumberFormat="1">
      <alignment horizontal="center" readingOrder="0"/>
    </xf>
    <xf borderId="5" fillId="2" fontId="11" numFmtId="164" xfId="0" applyAlignment="1" applyBorder="1" applyFont="1" applyNumberFormat="1">
      <alignment horizontal="center"/>
    </xf>
    <xf borderId="5" fillId="2" fontId="10" numFmtId="164" xfId="0" applyAlignment="1" applyBorder="1" applyFont="1" applyNumberFormat="1">
      <alignment horizontal="center"/>
    </xf>
    <xf borderId="5" fillId="2" fontId="9" numFmtId="9" xfId="0" applyAlignment="1" applyBorder="1" applyFont="1" applyNumberFormat="1">
      <alignment horizontal="center"/>
    </xf>
    <xf borderId="5" fillId="4" fontId="9" numFmtId="164" xfId="0" applyAlignment="1" applyBorder="1" applyFill="1" applyFont="1" applyNumberFormat="1">
      <alignment horizontal="center"/>
    </xf>
    <xf borderId="5" fillId="5" fontId="9" numFmtId="164" xfId="0" applyAlignment="1" applyBorder="1" applyFill="1" applyFont="1" applyNumberFormat="1">
      <alignment horizontal="center" readingOrder="0"/>
    </xf>
    <xf borderId="0" fillId="2" fontId="5" numFmtId="1" xfId="0" applyFont="1" applyNumberFormat="1"/>
    <xf borderId="7" fillId="0" fontId="3" numFmtId="0" xfId="0" applyBorder="1" applyFont="1"/>
    <xf borderId="4" fillId="2" fontId="12" numFmtId="0" xfId="0" applyAlignment="1" applyBorder="1" applyFont="1">
      <alignment horizontal="center" readingOrder="0" vertical="center"/>
    </xf>
    <xf borderId="5" fillId="2" fontId="5" numFmtId="0" xfId="0" applyBorder="1" applyFont="1"/>
    <xf borderId="5" fillId="2" fontId="13" numFmtId="0" xfId="0" applyAlignment="1" applyBorder="1" applyFont="1">
      <alignment horizontal="center" readingOrder="0"/>
    </xf>
    <xf borderId="0" fillId="2" fontId="13" numFmtId="0" xfId="0" applyAlignment="1" applyFont="1">
      <alignment horizontal="center"/>
    </xf>
    <xf borderId="0" fillId="2" fontId="13" numFmtId="0" xfId="0" applyAlignment="1" applyFont="1">
      <alignment horizontal="center" readingOrder="0" vertical="center"/>
    </xf>
    <xf borderId="5" fillId="2" fontId="9" numFmtId="164" xfId="0" applyAlignment="1" applyBorder="1" applyFont="1" applyNumberFormat="1">
      <alignment horizontal="center"/>
    </xf>
    <xf borderId="5" fillId="2" fontId="13" numFmtId="3" xfId="0" applyAlignment="1" applyBorder="1" applyFont="1" applyNumberFormat="1">
      <alignment readingOrder="0"/>
    </xf>
    <xf borderId="5" fillId="2" fontId="5" numFmtId="3" xfId="0" applyBorder="1" applyFont="1" applyNumberFormat="1"/>
    <xf borderId="5" fillId="2" fontId="5" numFmtId="165" xfId="0" applyBorder="1" applyFont="1" applyNumberFormat="1"/>
    <xf borderId="0" fillId="2" fontId="14" numFmtId="164" xfId="0" applyAlignment="1" applyFont="1" applyNumberFormat="1">
      <alignment horizontal="center" readingOrder="0" vertical="center"/>
    </xf>
    <xf borderId="0" fillId="2" fontId="15" numFmtId="164" xfId="0" applyFont="1" applyNumberFormat="1"/>
    <xf borderId="0" fillId="2" fontId="6" numFmtId="164" xfId="0" applyAlignment="1" applyFont="1" applyNumberFormat="1">
      <alignment horizontal="center" readingOrder="0" vertical="center"/>
    </xf>
    <xf borderId="5" fillId="3" fontId="16" numFmtId="164" xfId="0" applyAlignment="1" applyBorder="1" applyFont="1" applyNumberFormat="1">
      <alignment horizontal="center"/>
    </xf>
    <xf borderId="5" fillId="2" fontId="17" numFmtId="164" xfId="0" applyAlignment="1" applyBorder="1" applyFont="1" applyNumberFormat="1">
      <alignment horizontal="center"/>
    </xf>
    <xf borderId="5" fillId="2" fontId="16" numFmtId="9" xfId="0" applyAlignment="1" applyBorder="1" applyFont="1" applyNumberFormat="1">
      <alignment horizontal="center"/>
    </xf>
    <xf borderId="0" fillId="0" fontId="15" numFmtId="164" xfId="0" applyFont="1" applyNumberFormat="1"/>
    <xf borderId="0" fillId="2" fontId="12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6" fontId="5" numFmtId="0" xfId="0" applyAlignment="1" applyFill="1" applyFont="1">
      <alignment horizontal="left" readingOrder="0" shrinkToFit="0" vertical="center" wrapText="0"/>
    </xf>
    <xf borderId="8" fillId="6" fontId="19" numFmtId="0" xfId="0" applyAlignment="1" applyBorder="1" applyFont="1">
      <alignment horizontal="lef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3" xfId="0" applyAlignment="1" applyFont="1" applyNumberFormat="1">
      <alignment readingOrder="0" shrinkToFit="0" vertical="center" wrapText="0"/>
    </xf>
    <xf borderId="0" fillId="0" fontId="18" numFmtId="3" xfId="0" applyAlignment="1" applyFont="1" applyNumberFormat="1">
      <alignment shrinkToFit="0" vertical="center" wrapText="0"/>
    </xf>
    <xf borderId="0" fillId="0" fontId="18" numFmtId="10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9" fillId="2" fontId="20" numFmtId="3" xfId="0" applyAlignment="1" applyBorder="1" applyFont="1" applyNumberFormat="1">
      <alignment horizontal="right" readingOrder="0" shrinkToFit="0" vertical="center" wrapText="0"/>
    </xf>
    <xf borderId="9" fillId="7" fontId="20" numFmtId="3" xfId="0" applyAlignment="1" applyBorder="1" applyFill="1" applyFont="1" applyNumberFormat="1">
      <alignment horizontal="right" readingOrder="0" shrinkToFit="0" vertical="center" wrapText="0"/>
    </xf>
    <xf borderId="9" fillId="2" fontId="20" numFmtId="3" xfId="0" applyAlignment="1" applyBorder="1" applyFont="1" applyNumberFormat="1">
      <alignment horizontal="right" shrinkToFit="0" vertical="center" wrapText="0"/>
    </xf>
    <xf borderId="0" fillId="0" fontId="18" numFmtId="10" xfId="0" applyAlignment="1" applyFont="1" applyNumberFormat="1">
      <alignment shrinkToFit="0" vertical="center" wrapText="0"/>
    </xf>
    <xf borderId="0" fillId="0" fontId="18" numFmtId="10" xfId="0" applyAlignment="1" applyFont="1" applyNumberFormat="1">
      <alignment shrinkToFit="0" vertical="center" wrapText="0"/>
    </xf>
    <xf borderId="10" fillId="7" fontId="21" numFmtId="3" xfId="0" applyAlignment="1" applyBorder="1" applyFont="1" applyNumberFormat="1">
      <alignment shrinkToFit="0" vertical="center" wrapText="0"/>
    </xf>
    <xf borderId="0" fillId="8" fontId="22" numFmtId="0" xfId="0" applyAlignment="1" applyFill="1" applyFont="1">
      <alignment horizontal="center" readingOrder="0"/>
    </xf>
    <xf borderId="0" fillId="6" fontId="22" numFmtId="0" xfId="0" applyAlignment="1" applyFont="1">
      <alignment horizontal="center" readingOrder="0"/>
    </xf>
    <xf borderId="0" fillId="0" fontId="18" numFmtId="0" xfId="0" applyAlignment="1" applyFont="1">
      <alignment shrinkToFit="0" wrapText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horizontal="left" readingOrder="0" shrinkToFit="0" wrapText="0"/>
    </xf>
    <xf borderId="0" fillId="0" fontId="18" numFmtId="0" xfId="0" applyAlignment="1" applyFont="1">
      <alignment horizontal="left" readingOrder="0" shrinkToFit="0" wrapText="0"/>
    </xf>
    <xf borderId="0" fillId="0" fontId="23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5" fillId="2" fontId="24" numFmtId="0" xfId="0" applyAlignment="1" applyBorder="1" applyFont="1">
      <alignment horizontal="left" readingOrder="0" vertical="center"/>
    </xf>
    <xf borderId="5" fillId="9" fontId="25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10" fontId="27" numFmtId="0" xfId="0" applyAlignment="1" applyFill="1" applyFont="1">
      <alignment horizontal="center" readingOrder="0" shrinkToFit="0" vertical="center" wrapText="0"/>
    </xf>
    <xf borderId="11" fillId="11" fontId="28" numFmtId="0" xfId="0" applyAlignment="1" applyBorder="1" applyFill="1" applyFont="1">
      <alignment horizontal="left" readingOrder="0" vertical="center"/>
    </xf>
    <xf borderId="0" fillId="2" fontId="26" numFmtId="0" xfId="0" applyAlignment="1" applyFont="1">
      <alignment horizontal="left" vertical="center"/>
    </xf>
    <xf borderId="11" fillId="2" fontId="28" numFmtId="0" xfId="0" applyAlignment="1" applyBorder="1" applyFont="1">
      <alignment horizontal="left" readingOrder="0" vertical="center"/>
    </xf>
    <xf borderId="12" fillId="11" fontId="29" numFmtId="0" xfId="0" applyAlignment="1" applyBorder="1" applyFont="1">
      <alignment horizontal="left" readingOrder="0" vertical="center"/>
    </xf>
    <xf borderId="12" fillId="11" fontId="30" numFmtId="0" xfId="0" applyAlignment="1" applyBorder="1" applyFont="1">
      <alignment horizontal="left" readingOrder="0" vertical="center"/>
    </xf>
    <xf borderId="12" fillId="2" fontId="29" numFmtId="0" xfId="0" applyAlignment="1" applyBorder="1" applyFont="1">
      <alignment horizontal="left" readingOrder="0" vertical="center"/>
    </xf>
    <xf borderId="12" fillId="2" fontId="31" numFmtId="0" xfId="0" applyAlignment="1" applyBorder="1" applyFont="1">
      <alignment horizontal="left" readingOrder="0" vertical="center"/>
    </xf>
    <xf borderId="12" fillId="2" fontId="30" numFmtId="0" xfId="0" applyAlignment="1" applyBorder="1" applyFont="1">
      <alignment horizontal="left" readingOrder="0" vertical="center"/>
    </xf>
    <xf borderId="12" fillId="2" fontId="31" numFmtId="0" xfId="0" applyAlignment="1" applyBorder="1" applyFont="1">
      <alignment horizontal="left" readingOrder="0" vertical="center"/>
    </xf>
    <xf borderId="12" fillId="11" fontId="28" numFmtId="0" xfId="0" applyAlignment="1" applyBorder="1" applyFont="1">
      <alignment horizontal="left" readingOrder="0" vertical="center"/>
    </xf>
    <xf borderId="12" fillId="11" fontId="31" numFmtId="0" xfId="0" applyAlignment="1" applyBorder="1" applyFont="1">
      <alignment horizontal="left" readingOrder="0" vertical="center"/>
    </xf>
    <xf borderId="0" fillId="0" fontId="26" numFmtId="0" xfId="0" applyAlignment="1" applyFont="1">
      <alignment horizontal="left" readingOrder="0" vertical="center"/>
    </xf>
    <xf borderId="13" fillId="12" fontId="32" numFmtId="0" xfId="0" applyAlignment="1" applyBorder="1" applyFill="1" applyFont="1">
      <alignment horizontal="center" readingOrder="0" shrinkToFit="0" vertical="center" wrapText="0"/>
    </xf>
    <xf borderId="14" fillId="0" fontId="3" numFmtId="0" xfId="0" applyBorder="1" applyFont="1"/>
    <xf borderId="0" fillId="0" fontId="33" numFmtId="0" xfId="0" applyAlignment="1" applyFont="1">
      <alignment horizontal="left" shrinkToFit="0" vertical="center" wrapText="0"/>
    </xf>
    <xf borderId="15" fillId="2" fontId="24" numFmtId="0" xfId="0" applyAlignment="1" applyBorder="1" applyFont="1">
      <alignment horizontal="left" readingOrder="0" vertical="center"/>
    </xf>
    <xf borderId="15" fillId="2" fontId="34" numFmtId="0" xfId="0" applyAlignment="1" applyBorder="1" applyFont="1">
      <alignment horizontal="left" readingOrder="0" vertical="center"/>
    </xf>
    <xf borderId="16" fillId="2" fontId="34" numFmtId="0" xfId="0" applyAlignment="1" applyBorder="1" applyFont="1">
      <alignment horizontal="left" readingOrder="0" shrinkToFit="0" vertical="center" wrapText="0"/>
    </xf>
    <xf borderId="17" fillId="0" fontId="3" numFmtId="0" xfId="0" applyBorder="1" applyFont="1"/>
    <xf borderId="18" fillId="13" fontId="8" numFmtId="0" xfId="0" applyAlignment="1" applyBorder="1" applyFill="1" applyFont="1">
      <alignment horizontal="left" readingOrder="0" shrinkToFit="0" vertical="center" wrapText="0"/>
    </xf>
    <xf borderId="18" fillId="13" fontId="35" numFmtId="0" xfId="0" applyAlignment="1" applyBorder="1" applyFont="1">
      <alignment horizontal="left" readingOrder="0" vertical="center"/>
    </xf>
    <xf borderId="18" fillId="13" fontId="36" numFmtId="0" xfId="0" applyAlignment="1" applyBorder="1" applyFont="1">
      <alignment horizontal="left" readingOrder="0" vertical="center"/>
    </xf>
    <xf borderId="18" fillId="13" fontId="37" numFmtId="0" xfId="0" applyAlignment="1" applyBorder="1" applyFont="1">
      <alignment horizontal="left" readingOrder="0" vertical="center"/>
    </xf>
    <xf borderId="0" fillId="2" fontId="18" numFmtId="0" xfId="0" applyAlignment="1" applyFont="1">
      <alignment horizontal="left" vertical="center"/>
    </xf>
    <xf borderId="18" fillId="13" fontId="24" numFmtId="0" xfId="0" applyAlignment="1" applyBorder="1" applyFont="1">
      <alignment horizontal="left" readingOrder="0" shrinkToFit="0" vertical="center" wrapText="0"/>
    </xf>
    <xf borderId="18" fillId="13" fontId="29" numFmtId="0" xfId="0" applyAlignment="1" applyBorder="1" applyFont="1">
      <alignment horizontal="left" readingOrder="0" vertical="center"/>
    </xf>
    <xf quotePrefix="1" borderId="18" fillId="13" fontId="38" numFmtId="0" xfId="0" applyAlignment="1" applyBorder="1" applyFont="1">
      <alignment horizontal="left" readingOrder="0" vertical="center"/>
    </xf>
    <xf borderId="18" fillId="13" fontId="39" numFmtId="0" xfId="0" applyAlignment="1" applyBorder="1" applyFont="1">
      <alignment horizontal="left" readingOrder="0" vertical="center"/>
    </xf>
    <xf borderId="18" fillId="2" fontId="24" numFmtId="0" xfId="0" applyAlignment="1" applyBorder="1" applyFont="1">
      <alignment horizontal="left" readingOrder="0" shrinkToFit="0" vertical="center" wrapText="0"/>
    </xf>
    <xf borderId="0" fillId="2" fontId="33" numFmtId="0" xfId="0" applyAlignment="1" applyFont="1">
      <alignment horizontal="left" shrinkToFit="0" vertical="center" wrapText="0"/>
    </xf>
    <xf borderId="16" fillId="10" fontId="40" numFmtId="0" xfId="0" applyAlignment="1" applyBorder="1" applyFont="1">
      <alignment horizontal="left" readingOrder="0" shrinkToFit="0" vertical="center" wrapText="0"/>
    </xf>
    <xf borderId="16" fillId="2" fontId="41" numFmtId="0" xfId="0" applyAlignment="1" applyBorder="1" applyFont="1">
      <alignment horizontal="left" readingOrder="0" vertical="center"/>
    </xf>
    <xf borderId="0" fillId="2" fontId="18" numFmtId="0" xfId="0" applyAlignment="1" applyFont="1">
      <alignment horizontal="center" readingOrder="0" shrinkToFit="0" vertical="center" wrapText="0"/>
    </xf>
    <xf borderId="0" fillId="8" fontId="18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left" readingOrder="0" shrinkToFit="0" vertical="center" wrapText="0"/>
    </xf>
    <xf borderId="0" fillId="2" fontId="42" numFmtId="0" xfId="0" applyAlignment="1" applyFont="1">
      <alignment horizontal="center" shrinkToFit="0" vertical="center" wrapText="0"/>
    </xf>
    <xf borderId="0" fillId="6" fontId="42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8" numFmtId="3" xfId="0" applyAlignment="1" applyFont="1" applyNumberFormat="1">
      <alignment horizontal="center" readingOrder="0" shrinkToFit="0" vertical="center" wrapText="0"/>
    </xf>
    <xf borderId="0" fillId="0" fontId="18" numFmtId="3" xfId="0" applyAlignment="1" applyFont="1" applyNumberFormat="1">
      <alignment horizontal="center" shrinkToFit="0" vertical="center" wrapText="0"/>
    </xf>
    <xf borderId="0" fillId="0" fontId="18" numFmtId="10" xfId="0" applyAlignment="1" applyFont="1" applyNumberFormat="1">
      <alignment horizontal="center" shrinkToFit="0" vertical="center" wrapText="0"/>
    </xf>
    <xf borderId="0" fillId="0" fontId="18" numFmtId="3" xfId="0" applyAlignment="1" applyFont="1" applyNumberFormat="1">
      <alignment readingOrder="0" shrinkToFit="0" vertical="center" wrapText="0"/>
    </xf>
    <xf borderId="0" fillId="2" fontId="42" numFmtId="0" xfId="0" applyAlignment="1" applyFont="1">
      <alignment horizontal="center" readingOrder="0" shrinkToFit="0" vertical="center" wrapText="0"/>
    </xf>
    <xf borderId="0" fillId="11" fontId="42" numFmtId="0" xfId="0" applyAlignment="1" applyFont="1">
      <alignment horizontal="center" shrinkToFit="0" vertical="center" wrapText="0"/>
    </xf>
    <xf borderId="0" fillId="11" fontId="18" numFmtId="0" xfId="0" applyAlignment="1" applyFont="1">
      <alignment horizontal="center" readingOrder="0" shrinkToFit="0" vertical="center" wrapText="0"/>
    </xf>
    <xf borderId="0" fillId="11" fontId="18" numFmtId="0" xfId="0" applyAlignment="1" applyFont="1">
      <alignment horizontal="center" shrinkToFit="0" vertical="center" wrapText="0"/>
    </xf>
    <xf borderId="0" fillId="11" fontId="18" numFmtId="3" xfId="0" applyAlignment="1" applyFont="1" applyNumberFormat="1">
      <alignment horizontal="center" readingOrder="0" shrinkToFit="0" vertical="center" wrapText="0"/>
    </xf>
    <xf borderId="0" fillId="11" fontId="18" numFmtId="3" xfId="0" applyAlignment="1" applyFont="1" applyNumberFormat="1">
      <alignment horizontal="center" shrinkToFit="0" vertical="center" wrapText="0"/>
    </xf>
    <xf borderId="0" fillId="11" fontId="18" numFmtId="10" xfId="0" applyAlignment="1" applyFont="1" applyNumberFormat="1">
      <alignment horizontal="center" shrinkToFit="0" vertical="center" wrapText="0"/>
    </xf>
    <xf borderId="0" fillId="11" fontId="42" numFmtId="0" xfId="0" applyAlignment="1" applyFont="1">
      <alignment horizontal="center" readingOrder="0" shrinkToFit="0" vertical="center" wrapText="0"/>
    </xf>
    <xf borderId="19" fillId="0" fontId="43" numFmtId="164" xfId="0" applyAlignment="1" applyBorder="1" applyFont="1" applyNumberFormat="1">
      <alignment shrinkToFit="0" wrapText="1"/>
    </xf>
    <xf borderId="19" fillId="0" fontId="3" numFmtId="0" xfId="0" applyBorder="1" applyFont="1"/>
    <xf borderId="5" fillId="14" fontId="16" numFmtId="164" xfId="0" applyBorder="1" applyFill="1" applyFont="1" applyNumberFormat="1"/>
    <xf borderId="5" fillId="14" fontId="16" numFmtId="164" xfId="0" applyAlignment="1" applyBorder="1" applyFont="1" applyNumberFormat="1">
      <alignment horizontal="center" shrinkToFit="0" wrapText="1"/>
    </xf>
    <xf borderId="5" fillId="14" fontId="16" numFmtId="164" xfId="0" applyAlignment="1" applyBorder="1" applyFont="1" applyNumberFormat="1">
      <alignment shrinkToFit="0" wrapText="1"/>
    </xf>
    <xf borderId="5" fillId="0" fontId="17" numFmtId="164" xfId="0" applyAlignment="1" applyBorder="1" applyFont="1" applyNumberFormat="1">
      <alignment horizontal="right"/>
    </xf>
    <xf borderId="5" fillId="0" fontId="17" numFmtId="164" xfId="0" applyBorder="1" applyFont="1" applyNumberFormat="1"/>
    <xf borderId="4" fillId="0" fontId="17" numFmtId="164" xfId="0" applyBorder="1" applyFont="1" applyNumberFormat="1"/>
    <xf borderId="4" fillId="0" fontId="17" numFmtId="164" xfId="0" applyAlignment="1" applyBorder="1" applyFont="1" applyNumberFormat="1">
      <alignment horizontal="right"/>
    </xf>
    <xf borderId="20" fillId="6" fontId="17" numFmtId="164" xfId="0" applyBorder="1" applyFont="1" applyNumberFormat="1"/>
    <xf borderId="21" fillId="6" fontId="44" numFmtId="164" xfId="0" applyAlignment="1" applyBorder="1" applyFont="1" applyNumberFormat="1">
      <alignment horizontal="right"/>
    </xf>
    <xf borderId="22" fillId="6" fontId="44" numFmtId="164" xfId="0" applyAlignment="1" applyBorder="1" applyFont="1" applyNumberFormat="1">
      <alignment horizontal="right"/>
    </xf>
    <xf borderId="23" fillId="4" fontId="45" numFmtId="164" xfId="0" applyBorder="1" applyFont="1" applyNumberFormat="1"/>
    <xf borderId="7" fillId="0" fontId="17" numFmtId="164" xfId="0" applyAlignment="1" applyBorder="1" applyFont="1" applyNumberFormat="1">
      <alignment horizontal="right"/>
    </xf>
    <xf borderId="4" fillId="0" fontId="45" numFmtId="164" xfId="0" applyBorder="1" applyFont="1" applyNumberFormat="1"/>
    <xf borderId="24" fillId="0" fontId="45" numFmtId="164" xfId="0" applyAlignment="1" applyBorder="1" applyFont="1" applyNumberFormat="1">
      <alignment horizontal="right"/>
    </xf>
    <xf borderId="5" fillId="14" fontId="45" numFmtId="164" xfId="0" applyBorder="1" applyFont="1" applyNumberFormat="1"/>
    <xf borderId="5" fillId="14" fontId="16" numFmtId="164" xfId="0" applyAlignment="1" applyBorder="1" applyFont="1" applyNumberFormat="1">
      <alignment horizontal="right"/>
    </xf>
    <xf borderId="24" fillId="0" fontId="3" numFmtId="0" xfId="0" applyBorder="1" applyFont="1"/>
    <xf borderId="7" fillId="0" fontId="46" numFmtId="164" xfId="0" applyBorder="1" applyFont="1" applyNumberFormat="1"/>
    <xf borderId="5" fillId="0" fontId="46" numFmtId="164" xfId="0" applyBorder="1" applyFont="1" applyNumberFormat="1"/>
    <xf borderId="5" fillId="0" fontId="47" numFmtId="164" xfId="0" applyBorder="1" applyFont="1" applyNumberFormat="1"/>
    <xf borderId="0" fillId="0" fontId="45" numFmtId="164" xfId="0" applyAlignment="1" applyFont="1" applyNumberFormat="1">
      <alignment horizontal="right"/>
    </xf>
    <xf borderId="4" fillId="0" fontId="15" numFmtId="164" xfId="0" applyBorder="1" applyFont="1" applyNumberFormat="1"/>
    <xf borderId="25" fillId="0" fontId="46" numFmtId="164" xfId="0" applyBorder="1" applyFont="1" applyNumberFormat="1"/>
    <xf borderId="26" fillId="0" fontId="17" numFmtId="164" xfId="0" applyAlignment="1" applyBorder="1" applyFont="1" applyNumberFormat="1">
      <alignment horizontal="right"/>
    </xf>
    <xf borderId="5" fillId="0" fontId="15" numFmtId="164" xfId="0" applyBorder="1" applyFont="1" applyNumberFormat="1"/>
    <xf borderId="27" fillId="0" fontId="17" numFmtId="164" xfId="0" applyAlignment="1" applyBorder="1" applyFont="1" applyNumberFormat="1">
      <alignment horizontal="right"/>
    </xf>
    <xf borderId="28" fillId="0" fontId="46" numFmtId="164" xfId="0" applyBorder="1" applyFont="1" applyNumberFormat="1"/>
    <xf borderId="29" fillId="0" fontId="17" numFmtId="164" xfId="0" applyAlignment="1" applyBorder="1" applyFont="1" applyNumberFormat="1">
      <alignment horizontal="right"/>
    </xf>
    <xf borderId="30" fillId="0" fontId="47" numFmtId="164" xfId="0" applyBorder="1" applyFont="1" applyNumberFormat="1"/>
    <xf borderId="31" fillId="0" fontId="17" numFmtId="164" xfId="0" applyAlignment="1" applyBorder="1" applyFont="1" applyNumberFormat="1">
      <alignment horizontal="right"/>
    </xf>
    <xf borderId="32" fillId="14" fontId="45" numFmtId="164" xfId="0" applyBorder="1" applyFont="1" applyNumberFormat="1"/>
    <xf borderId="33" fillId="14" fontId="16" numFmtId="164" xfId="0" applyAlignment="1" applyBorder="1" applyFont="1" applyNumberFormat="1">
      <alignment horizontal="right"/>
    </xf>
    <xf borderId="34" fillId="14" fontId="16" numFmtId="164" xfId="0" applyAlignment="1" applyBorder="1" applyFont="1" applyNumberFormat="1">
      <alignment horizontal="right"/>
    </xf>
    <xf borderId="35" fillId="2" fontId="15" numFmtId="164" xfId="0" applyBorder="1" applyFont="1" applyNumberFormat="1"/>
    <xf borderId="36" fillId="2" fontId="15" numFmtId="164" xfId="0" applyBorder="1" applyFont="1" applyNumberFormat="1"/>
    <xf borderId="37" fillId="2" fontId="15" numFmtId="164" xfId="0" applyBorder="1" applyFont="1" applyNumberFormat="1"/>
    <xf borderId="24" fillId="0" fontId="45" numFmtId="164" xfId="0" applyAlignment="1" applyBorder="1" applyFont="1" applyNumberFormat="1">
      <alignment horizontal="center"/>
    </xf>
    <xf borderId="38" fillId="0" fontId="44" numFmtId="164" xfId="0" applyAlignment="1" applyBorder="1" applyFont="1" applyNumberFormat="1">
      <alignment horizontal="center"/>
    </xf>
    <xf borderId="39" fillId="0" fontId="3" numFmtId="0" xfId="0" applyBorder="1" applyFont="1"/>
    <xf borderId="40" fillId="0" fontId="3" numFmtId="0" xfId="0" applyBorder="1" applyFont="1"/>
    <xf borderId="41" fillId="14" fontId="16" numFmtId="164" xfId="0" applyAlignment="1" applyBorder="1" applyFont="1" applyNumberFormat="1">
      <alignment horizontal="right"/>
    </xf>
    <xf borderId="42" fillId="14" fontId="48" numFmtId="164" xfId="0" applyAlignment="1" applyBorder="1" applyFont="1" applyNumberFormat="1">
      <alignment horizontal="right"/>
    </xf>
    <xf borderId="1" fillId="0" fontId="15" numFmtId="164" xfId="0" applyBorder="1" applyFont="1" applyNumberFormat="1"/>
    <xf borderId="43" fillId="2" fontId="15" numFmtId="164" xfId="0" applyBorder="1" applyFont="1" applyNumberFormat="1"/>
    <xf borderId="44" fillId="2" fontId="15" numFmtId="164" xfId="0" applyBorder="1" applyFont="1" applyNumberFormat="1"/>
    <xf borderId="45" fillId="0" fontId="45" numFmtId="164" xfId="0" applyBorder="1" applyFont="1" applyNumberFormat="1"/>
    <xf borderId="46" fillId="0" fontId="17" numFmtId="164" xfId="0" applyAlignment="1" applyBorder="1" applyFont="1" applyNumberFormat="1">
      <alignment horizontal="right"/>
    </xf>
    <xf borderId="47" fillId="0" fontId="17" numFmtId="164" xfId="0" applyAlignment="1" applyBorder="1" applyFont="1" applyNumberFormat="1">
      <alignment horizontal="right"/>
    </xf>
    <xf borderId="48" fillId="0" fontId="46" numFmtId="164" xfId="0" applyBorder="1" applyFont="1" applyNumberFormat="1"/>
    <xf borderId="49" fillId="0" fontId="15" numFmtId="164" xfId="0" applyBorder="1" applyFont="1" applyNumberFormat="1"/>
    <xf borderId="48" fillId="14" fontId="45" numFmtId="164" xfId="0" applyBorder="1" applyFont="1" applyNumberFormat="1"/>
    <xf borderId="49" fillId="14" fontId="16" numFmtId="164" xfId="0" applyAlignment="1" applyBorder="1" applyFont="1" applyNumberFormat="1">
      <alignment horizontal="right"/>
    </xf>
    <xf borderId="48" fillId="0" fontId="45" numFmtId="164" xfId="0" applyBorder="1" applyFont="1" applyNumberFormat="1"/>
    <xf borderId="49" fillId="0" fontId="17" numFmtId="164" xfId="0" applyAlignment="1" applyBorder="1" applyFont="1" applyNumberFormat="1">
      <alignment horizontal="right"/>
    </xf>
    <xf borderId="50" fillId="14" fontId="45" numFmtId="164" xfId="0" applyBorder="1" applyFont="1" applyNumberFormat="1"/>
    <xf borderId="51" fillId="14" fontId="16" numFmtId="164" xfId="0" applyAlignment="1" applyBorder="1" applyFont="1" applyNumberFormat="1">
      <alignment horizontal="right"/>
    </xf>
    <xf borderId="52" fillId="14" fontId="16" numFmtId="164" xfId="0" applyAlignment="1" applyBorder="1" applyFont="1" applyNumberFormat="1">
      <alignment horizontal="right"/>
    </xf>
    <xf borderId="7" fillId="0" fontId="15" numFmtId="164" xfId="0" applyBorder="1" applyFont="1" applyNumberFormat="1"/>
    <xf borderId="5" fillId="8" fontId="49" numFmtId="164" xfId="0" applyBorder="1" applyFont="1" applyNumberFormat="1"/>
    <xf borderId="0" fillId="0" fontId="17" numFmtId="164" xfId="0" applyFont="1" applyNumberFormat="1"/>
    <xf borderId="5" fillId="6" fontId="16" numFmtId="164" xfId="0" applyBorder="1" applyFont="1" applyNumberFormat="1"/>
    <xf borderId="5" fillId="14" fontId="17" numFmtId="164" xfId="0" applyAlignment="1" applyBorder="1" applyFont="1" applyNumberFormat="1">
      <alignment horizontal="right"/>
    </xf>
    <xf borderId="5" fillId="0" fontId="50" numFmtId="164" xfId="0" applyBorder="1" applyFont="1" applyNumberFormat="1"/>
    <xf borderId="5" fillId="8" fontId="17" numFmtId="164" xfId="0" applyAlignment="1" applyBorder="1" applyFont="1" applyNumberFormat="1">
      <alignment horizontal="right"/>
    </xf>
    <xf borderId="5" fillId="15" fontId="17" numFmtId="164" xfId="0" applyAlignment="1" applyBorder="1" applyFill="1" applyFont="1" applyNumberFormat="1">
      <alignment horizontal="right"/>
    </xf>
    <xf borderId="5" fillId="0" fontId="16" numFmtId="9" xfId="0" applyAlignment="1" applyBorder="1" applyFont="1" applyNumberFormat="1">
      <alignment horizontal="right"/>
    </xf>
    <xf borderId="5" fillId="16" fontId="16" numFmtId="164" xfId="0" applyBorder="1" applyFill="1" applyFont="1" applyNumberFormat="1"/>
    <xf borderId="5" fillId="0" fontId="16" numFmtId="164" xfId="0" applyBorder="1" applyFont="1" applyNumberFormat="1"/>
    <xf borderId="53" fillId="8" fontId="45" numFmtId="164" xfId="0" applyAlignment="1" applyBorder="1" applyFont="1" applyNumberFormat="1">
      <alignment horizontal="right"/>
    </xf>
    <xf borderId="54" fillId="6" fontId="16" numFmtId="164" xfId="0" applyBorder="1" applyFont="1" applyNumberFormat="1"/>
    <xf borderId="55" fillId="0" fontId="3" numFmtId="0" xfId="0" applyBorder="1" applyFont="1"/>
    <xf borderId="36" fillId="15" fontId="17" numFmtId="164" xfId="0" applyAlignment="1" applyBorder="1" applyFont="1" applyNumberFormat="1">
      <alignment horizontal="right"/>
    </xf>
    <xf borderId="1" fillId="0" fontId="50" numFmtId="164" xfId="0" applyBorder="1" applyFont="1" applyNumberFormat="1"/>
    <xf borderId="5" fillId="0" fontId="17" numFmtId="9" xfId="0" applyAlignment="1" applyBorder="1" applyFont="1" applyNumberFormat="1">
      <alignment horizontal="right"/>
    </xf>
    <xf borderId="56" fillId="0" fontId="3" numFmtId="0" xfId="0" applyBorder="1" applyFont="1"/>
    <xf borderId="5" fillId="14" fontId="16" numFmtId="164" xfId="0" applyAlignment="1" applyBorder="1" applyFont="1" applyNumberFormat="1">
      <alignment horizontal="center"/>
    </xf>
    <xf borderId="5" fillId="0" fontId="17" numFmtId="164" xfId="0" applyAlignment="1" applyBorder="1" applyFont="1" applyNumberFormat="1">
      <alignment horizontal="center"/>
    </xf>
    <xf borderId="4" fillId="0" fontId="17" numFmtId="164" xfId="0" applyAlignment="1" applyBorder="1" applyFont="1" applyNumberFormat="1">
      <alignment horizontal="center"/>
    </xf>
    <xf borderId="20" fillId="6" fontId="17" numFmtId="164" xfId="0" applyAlignment="1" applyBorder="1" applyFont="1" applyNumberFormat="1">
      <alignment horizontal="center"/>
    </xf>
    <xf borderId="21" fillId="6" fontId="44" numFmtId="164" xfId="0" applyAlignment="1" applyBorder="1" applyFont="1" applyNumberFormat="1">
      <alignment horizontal="center"/>
    </xf>
    <xf borderId="22" fillId="6" fontId="44" numFmtId="164" xfId="0" applyAlignment="1" applyBorder="1" applyFont="1" applyNumberFormat="1">
      <alignment horizontal="center"/>
    </xf>
    <xf borderId="23" fillId="4" fontId="45" numFmtId="164" xfId="0" applyAlignment="1" applyBorder="1" applyFont="1" applyNumberFormat="1">
      <alignment horizontal="center"/>
    </xf>
    <xf borderId="7" fillId="0" fontId="17" numFmtId="164" xfId="0" applyAlignment="1" applyBorder="1" applyFont="1" applyNumberFormat="1">
      <alignment horizontal="center"/>
    </xf>
    <xf borderId="4" fillId="0" fontId="45" numFmtId="164" xfId="0" applyAlignment="1" applyBorder="1" applyFont="1" applyNumberFormat="1">
      <alignment horizontal="center"/>
    </xf>
    <xf borderId="5" fillId="14" fontId="45" numFmtId="164" xfId="0" applyAlignment="1" applyBorder="1" applyFont="1" applyNumberFormat="1">
      <alignment horizontal="center"/>
    </xf>
    <xf borderId="7" fillId="0" fontId="46" numFmtId="164" xfId="0" applyAlignment="1" applyBorder="1" applyFont="1" applyNumberFormat="1">
      <alignment horizontal="center"/>
    </xf>
    <xf borderId="5" fillId="0" fontId="46" numFmtId="164" xfId="0" applyAlignment="1" applyBorder="1" applyFont="1" applyNumberFormat="1">
      <alignment horizontal="center"/>
    </xf>
    <xf borderId="5" fillId="0" fontId="47" numFmtId="164" xfId="0" applyAlignment="1" applyBorder="1" applyFont="1" applyNumberFormat="1">
      <alignment horizontal="center"/>
    </xf>
    <xf borderId="25" fillId="0" fontId="46" numFmtId="164" xfId="0" applyAlignment="1" applyBorder="1" applyFont="1" applyNumberFormat="1">
      <alignment horizontal="center"/>
    </xf>
    <xf borderId="26" fillId="0" fontId="17" numFmtId="164" xfId="0" applyAlignment="1" applyBorder="1" applyFont="1" applyNumberFormat="1">
      <alignment horizontal="center"/>
    </xf>
    <xf borderId="27" fillId="0" fontId="44" numFmtId="164" xfId="0" applyAlignment="1" applyBorder="1" applyFont="1" applyNumberFormat="1">
      <alignment horizontal="center"/>
    </xf>
    <xf borderId="28" fillId="0" fontId="46" numFmtId="164" xfId="0" applyAlignment="1" applyBorder="1" applyFont="1" applyNumberFormat="1">
      <alignment horizontal="center"/>
    </xf>
    <xf borderId="29" fillId="0" fontId="44" numFmtId="164" xfId="0" applyAlignment="1" applyBorder="1" applyFont="1" applyNumberFormat="1">
      <alignment horizontal="center"/>
    </xf>
    <xf borderId="30" fillId="0" fontId="47" numFmtId="164" xfId="0" applyAlignment="1" applyBorder="1" applyFont="1" applyNumberFormat="1">
      <alignment horizontal="center"/>
    </xf>
    <xf borderId="31" fillId="0" fontId="44" numFmtId="164" xfId="0" applyAlignment="1" applyBorder="1" applyFont="1" applyNumberFormat="1">
      <alignment horizontal="center"/>
    </xf>
    <xf borderId="32" fillId="14" fontId="45" numFmtId="164" xfId="0" applyAlignment="1" applyBorder="1" applyFont="1" applyNumberFormat="1">
      <alignment horizontal="center"/>
    </xf>
    <xf borderId="33" fillId="14" fontId="16" numFmtId="164" xfId="0" applyAlignment="1" applyBorder="1" applyFont="1" applyNumberFormat="1">
      <alignment horizontal="center"/>
    </xf>
    <xf borderId="34" fillId="14" fontId="48" numFmtId="164" xfId="0" applyAlignment="1" applyBorder="1" applyFont="1" applyNumberFormat="1">
      <alignment horizontal="center"/>
    </xf>
    <xf borderId="38" fillId="0" fontId="44" numFmtId="164" xfId="0" applyAlignment="1" applyBorder="1" applyFont="1" applyNumberFormat="1">
      <alignment horizontal="center" vertical="center"/>
    </xf>
    <xf borderId="41" fillId="14" fontId="16" numFmtId="164" xfId="0" applyAlignment="1" applyBorder="1" applyFont="1" applyNumberFormat="1">
      <alignment horizontal="center"/>
    </xf>
    <xf borderId="42" fillId="14" fontId="48" numFmtId="164" xfId="0" applyAlignment="1" applyBorder="1" applyFont="1" applyNumberFormat="1">
      <alignment horizontal="center"/>
    </xf>
    <xf borderId="45" fillId="0" fontId="45" numFmtId="164" xfId="0" applyAlignment="1" applyBorder="1" applyFont="1" applyNumberFormat="1">
      <alignment horizontal="center"/>
    </xf>
    <xf borderId="46" fillId="0" fontId="17" numFmtId="164" xfId="0" applyAlignment="1" applyBorder="1" applyFont="1" applyNumberFormat="1">
      <alignment horizontal="center"/>
    </xf>
    <xf borderId="47" fillId="0" fontId="17" numFmtId="164" xfId="0" applyAlignment="1" applyBorder="1" applyFont="1" applyNumberFormat="1">
      <alignment horizontal="center"/>
    </xf>
    <xf borderId="48" fillId="0" fontId="46" numFmtId="164" xfId="0" applyAlignment="1" applyBorder="1" applyFont="1" applyNumberFormat="1">
      <alignment horizontal="center"/>
    </xf>
    <xf borderId="49" fillId="0" fontId="17" numFmtId="164" xfId="0" applyAlignment="1" applyBorder="1" applyFont="1" applyNumberFormat="1">
      <alignment horizontal="center"/>
    </xf>
    <xf borderId="48" fillId="14" fontId="45" numFmtId="164" xfId="0" applyAlignment="1" applyBorder="1" applyFont="1" applyNumberFormat="1">
      <alignment horizontal="center"/>
    </xf>
    <xf borderId="49" fillId="14" fontId="16" numFmtId="164" xfId="0" applyAlignment="1" applyBorder="1" applyFont="1" applyNumberFormat="1">
      <alignment horizontal="center"/>
    </xf>
    <xf borderId="48" fillId="0" fontId="45" numFmtId="164" xfId="0" applyAlignment="1" applyBorder="1" applyFont="1" applyNumberFormat="1">
      <alignment horizontal="center"/>
    </xf>
    <xf borderId="50" fillId="14" fontId="45" numFmtId="164" xfId="0" applyAlignment="1" applyBorder="1" applyFont="1" applyNumberFormat="1">
      <alignment horizontal="center"/>
    </xf>
    <xf borderId="51" fillId="14" fontId="16" numFmtId="164" xfId="0" applyAlignment="1" applyBorder="1" applyFont="1" applyNumberFormat="1">
      <alignment horizontal="center"/>
    </xf>
    <xf borderId="52" fillId="14" fontId="16" numFmtId="164" xfId="0" applyAlignment="1" applyBorder="1" applyFont="1" applyNumberFormat="1">
      <alignment horizontal="center"/>
    </xf>
    <xf borderId="5" fillId="8" fontId="49" numFmtId="164" xfId="0" applyAlignment="1" applyBorder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5" fillId="0" fontId="16" numFmtId="164" xfId="0" applyAlignment="1" applyBorder="1" applyFont="1" applyNumberFormat="1">
      <alignment horizontal="center"/>
    </xf>
    <xf borderId="5" fillId="14" fontId="17" numFmtId="164" xfId="0" applyAlignment="1" applyBorder="1" applyFont="1" applyNumberFormat="1">
      <alignment horizontal="center"/>
    </xf>
    <xf borderId="5" fillId="0" fontId="50" numFmtId="164" xfId="0" applyAlignment="1" applyBorder="1" applyFont="1" applyNumberFormat="1">
      <alignment horizontal="center"/>
    </xf>
    <xf borderId="5" fillId="0" fontId="16" numFmtId="9" xfId="0" applyAlignment="1" applyBorder="1" applyFont="1" applyNumberFormat="1">
      <alignment horizontal="center"/>
    </xf>
    <xf borderId="5" fillId="16" fontId="16" numFmtId="164" xfId="0" applyAlignment="1" applyBorder="1" applyFont="1" applyNumberFormat="1">
      <alignment horizontal="center"/>
    </xf>
    <xf borderId="57" fillId="0" fontId="15" numFmtId="164" xfId="0" applyBorder="1" applyFont="1" applyNumberFormat="1"/>
    <xf borderId="0" fillId="0" fontId="17" numFmtId="164" xfId="0" applyAlignment="1" applyFont="1" applyNumberFormat="1">
      <alignment horizontal="center" readingOrder="0"/>
    </xf>
    <xf borderId="0" fillId="0" fontId="15" numFmtId="164" xfId="0" applyAlignment="1" applyFont="1" applyNumberFormat="1">
      <alignment readingOrder="0"/>
    </xf>
    <xf borderId="5" fillId="14" fontId="17" numFmtId="164" xfId="0" applyAlignment="1" applyBorder="1" applyFont="1" applyNumberFormat="1">
      <alignment horizontal="center" readingOrder="0"/>
    </xf>
    <xf borderId="5" fillId="0" fontId="50" numFmtId="164" xfId="0" applyAlignment="1" applyBorder="1" applyFont="1" applyNumberFormat="1">
      <alignment horizontal="center" readingOrder="0"/>
    </xf>
    <xf borderId="5" fillId="0" fontId="16" numFmtId="164" xfId="0" applyAlignment="1" applyBorder="1" applyFont="1" applyNumberFormat="1">
      <alignment horizontal="center" readingOrder="0"/>
    </xf>
    <xf borderId="0" fillId="0" fontId="51" numFmtId="0" xfId="0" applyAlignment="1" applyFont="1">
      <alignment readingOrder="0" shrinkToFit="0" vertical="center" wrapText="0"/>
    </xf>
    <xf borderId="0" fillId="0" fontId="5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경쟁사가격대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단순)생두원가비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상세페이지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34</xdr:row>
      <xdr:rowOff>47625</xdr:rowOff>
    </xdr:from>
    <xdr:ext cx="6134100" cy="32194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885825</xdr:colOff>
      <xdr:row>35</xdr:row>
      <xdr:rowOff>47625</xdr:rowOff>
    </xdr:from>
    <xdr:ext cx="6134100" cy="32194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6905625" cy="4029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9010650" cy="4219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7" displayName="표2" name="표2" id="1">
  <tableColumns count="13">
    <tableColumn name="원두 종류" id="1"/>
    <tableColumn name="용량" id="2"/>
    <tableColumn name="예상 소비자 가격" id="3"/>
    <tableColumn name="단순 생두 원가" id="4"/>
    <tableColumn name="비율" id="5"/>
    <tableColumn name="MOMOS (스페셜티)" id="6"/>
    <tableColumn name="원두 비용" id="7"/>
    <tableColumn name="커피리브레 (스페셜티)" id="8"/>
    <tableColumn name="원두 비용 2" id="9"/>
    <tableColumn name="그냥커피" id="10"/>
    <tableColumn name="원두비용" id="11"/>
    <tableColumn name="마데톨미 (200g)" id="12"/>
    <tableColumn name="원두 비용 3" id="13"/>
  </tableColumns>
  <tableStyleInfo name="경쟁사가격대비-style" showColumnStripes="0" showFirstColumn="1" showLastColumn="1" showRowStripes="1"/>
</table>
</file>

<file path=xl/tables/table2.xml><?xml version="1.0" encoding="utf-8"?>
<table xmlns="http://schemas.openxmlformats.org/spreadsheetml/2006/main" ref="K1:L11" displayName="표3" name="표3" id="2">
  <tableColumns count="2">
    <tableColumn name="생두 종류" id="1"/>
    <tableColumn name="생두비용 ( kg )" id="2"/>
  </tableColumns>
  <tableStyleInfo name="(단순)생두원가비교-style" showColumnStripes="0" showFirstColumn="1" showLastColumn="1" showRowStripes="1"/>
</table>
</file>

<file path=xl/tables/table3.xml><?xml version="1.0" encoding="utf-8"?>
<table xmlns="http://schemas.openxmlformats.org/spreadsheetml/2006/main" ref="B4:D6" displayName="표4" name="표4" id="3">
  <tableColumns count="3">
    <tableColumn name="구분" id="1"/>
    <tableColumn name="블루보틀" id="2"/>
    <tableColumn name="모모스커피" id="3"/>
  </tableColumns>
  <tableStyleInfo name="상세페이지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omos.co.kr/?srsltid=AfmBOopR7l2I4Gfr5Ety32C7LTVym4fv3KcpDZrP0lmA8_Oz2bnFylSw" TargetMode="External"/><Relationship Id="rId2" Type="http://schemas.openxmlformats.org/officeDocument/2006/relationships/hyperlink" Target="https://m.fritz.co.kr/" TargetMode="External"/><Relationship Id="rId3" Type="http://schemas.openxmlformats.org/officeDocument/2006/relationships/hyperlink" Target="https://coffeelibre.kr/product/list.html?cate_no=60" TargetMode="External"/><Relationship Id="rId4" Type="http://schemas.openxmlformats.org/officeDocument/2006/relationships/hyperlink" Target="https://werk.co.kr/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3.xml"/><Relationship Id="rId5" Type="http://schemas.openxmlformats.org/officeDocument/2006/relationships/hyperlink" Target="https://unspecialty.com/" TargetMode="External"/><Relationship Id="rId6" Type="http://schemas.openxmlformats.org/officeDocument/2006/relationships/hyperlink" Target="https://www.cospir.com/" TargetMode="External"/><Relationship Id="rId7" Type="http://schemas.openxmlformats.org/officeDocument/2006/relationships/hyperlink" Target="https://dblcoffee.com/category/shop/24/" TargetMode="External"/><Relationship Id="rId8" Type="http://schemas.openxmlformats.org/officeDocument/2006/relationships/hyperlink" Target="https://namusairo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kr.bluebottlecoffee.com/?srsltid=AfmBOorpYXt8u7aoR6Mz-gafIbH8klqwP-kR4XXf9Fe-Mr13dtDK83SV" TargetMode="External"/><Relationship Id="rId2" Type="http://schemas.openxmlformats.org/officeDocument/2006/relationships/hyperlink" Target="https://momos.co.kr/?srsltid=AfmBOoqjPvslcONp-8y2Bj9-C785RXUp8Cp07yvioc00EYjE-ojdDx4t" TargetMode="External"/><Relationship Id="rId3" Type="http://schemas.openxmlformats.org/officeDocument/2006/relationships/hyperlink" Target="https://www.notion.so/3261a1c96f968034af19ed27d4a0349f" TargetMode="External"/><Relationship Id="rId4" Type="http://schemas.openxmlformats.org/officeDocument/2006/relationships/hyperlink" Target="https://loquacious-travesseiro-e6f6b8.netlify.app/" TargetMode="External"/><Relationship Id="rId5" Type="http://schemas.openxmlformats.org/officeDocument/2006/relationships/drawing" Target="../drawings/drawing9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34.25"/>
    <col customWidth="1" min="3" max="3" width="9.75"/>
    <col customWidth="1" min="4" max="4" width="12.38"/>
    <col customWidth="1" min="5" max="5" width="11.75"/>
    <col customWidth="1" min="6" max="7" width="9.75"/>
    <col customWidth="1" min="8" max="8" width="13.75"/>
    <col customWidth="1" min="9" max="9" width="21.13"/>
    <col customWidth="1" min="10" max="10" width="5.88"/>
    <col customWidth="1" min="11" max="11" width="34.25"/>
    <col customWidth="1" min="12" max="12" width="9.75"/>
    <col customWidth="1" min="13" max="13" width="12.38"/>
    <col customWidth="1" min="14" max="14" width="11.75"/>
    <col customWidth="1" min="15" max="16" width="9.75"/>
    <col customWidth="1" min="17" max="17" width="13.75"/>
    <col customWidth="1" min="18" max="18" width="21.13"/>
    <col hidden="1" min="19" max="25" width="12.63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1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2</v>
      </c>
      <c r="B2" s="8"/>
      <c r="C2" s="9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0" t="s">
        <v>8</v>
      </c>
      <c r="I2" s="10" t="s">
        <v>9</v>
      </c>
      <c r="J2" s="5"/>
      <c r="K2" s="8"/>
      <c r="L2" s="9" t="s">
        <v>3</v>
      </c>
      <c r="M2" s="10" t="s">
        <v>4</v>
      </c>
      <c r="N2" s="10" t="s">
        <v>5</v>
      </c>
      <c r="O2" s="10" t="s">
        <v>6</v>
      </c>
      <c r="P2" s="11" t="s">
        <v>7</v>
      </c>
      <c r="Q2" s="10" t="s">
        <v>8</v>
      </c>
      <c r="R2" s="10" t="s">
        <v>9</v>
      </c>
      <c r="S2" s="6"/>
      <c r="T2" s="6"/>
      <c r="U2" s="6"/>
      <c r="W2" s="6"/>
      <c r="X2" s="6"/>
      <c r="Y2" s="6"/>
      <c r="Z2" s="6"/>
      <c r="AA2" s="6"/>
    </row>
    <row r="3">
      <c r="A3" s="12"/>
      <c r="B3" s="13" t="s">
        <v>10</v>
      </c>
      <c r="C3" s="13">
        <v>9800.0</v>
      </c>
      <c r="D3" s="13">
        <v>10200.0</v>
      </c>
      <c r="E3" s="13">
        <v>10200.0</v>
      </c>
      <c r="F3" s="13">
        <v>10200.0</v>
      </c>
      <c r="G3" s="13">
        <v>18000.0</v>
      </c>
      <c r="H3" s="13">
        <v>10200.0</v>
      </c>
      <c r="I3" s="13">
        <v>10200.0</v>
      </c>
      <c r="J3" s="6"/>
      <c r="K3" s="13" t="s">
        <v>10</v>
      </c>
      <c r="L3" s="14">
        <v>11000.0</v>
      </c>
      <c r="M3" s="14">
        <v>13000.0</v>
      </c>
      <c r="N3" s="14">
        <v>12000.0</v>
      </c>
      <c r="O3" s="14">
        <v>11500.0</v>
      </c>
      <c r="P3" s="14">
        <v>21000.0</v>
      </c>
      <c r="Q3" s="14">
        <v>10000.0</v>
      </c>
      <c r="R3" s="14">
        <v>12000.0</v>
      </c>
      <c r="S3" s="6"/>
      <c r="T3" s="6"/>
      <c r="U3" s="6"/>
      <c r="V3" s="6"/>
      <c r="W3" s="6"/>
      <c r="X3" s="6"/>
      <c r="Y3" s="6"/>
      <c r="Z3" s="6"/>
      <c r="AA3" s="6"/>
    </row>
    <row r="4">
      <c r="A4" s="12"/>
      <c r="B4" s="15" t="s">
        <v>11</v>
      </c>
      <c r="C4" s="16">
        <v>2125.850340136055</v>
      </c>
      <c r="D4" s="16">
        <v>3401.360544217687</v>
      </c>
      <c r="E4" s="16">
        <v>2672.497570456754</v>
      </c>
      <c r="F4" s="16">
        <v>2356.6569484936836</v>
      </c>
      <c r="G4" s="16">
        <v>7896.015549076775</v>
      </c>
      <c r="H4" s="16">
        <v>1882.8960155490768</v>
      </c>
      <c r="I4" s="16">
        <v>2672.497570456754</v>
      </c>
      <c r="J4" s="6"/>
      <c r="K4" s="15" t="s">
        <v>11</v>
      </c>
      <c r="L4" s="16">
        <v>2125.850340136055</v>
      </c>
      <c r="M4" s="16">
        <v>3401.360544217687</v>
      </c>
      <c r="N4" s="16">
        <v>2672.497570456754</v>
      </c>
      <c r="O4" s="16">
        <v>2356.6569484936836</v>
      </c>
      <c r="P4" s="16">
        <v>7896.015549076775</v>
      </c>
      <c r="Q4" s="16">
        <v>1882.8960155490768</v>
      </c>
      <c r="R4" s="16">
        <v>2672.497570456754</v>
      </c>
      <c r="S4" s="6"/>
      <c r="T4" s="6"/>
      <c r="U4" s="6"/>
      <c r="V4" s="6"/>
      <c r="W4" s="6"/>
      <c r="X4" s="6"/>
      <c r="Y4" s="6"/>
      <c r="Z4" s="6"/>
      <c r="AA4" s="6"/>
    </row>
    <row r="5">
      <c r="A5" s="12"/>
      <c r="B5" s="15" t="s">
        <v>12</v>
      </c>
      <c r="C5" s="16">
        <v>5486.745076978161</v>
      </c>
      <c r="D5" s="16">
        <v>6762.255281059793</v>
      </c>
      <c r="E5" s="16">
        <v>6033.39230729886</v>
      </c>
      <c r="F5" s="16">
        <v>5717.551685335789</v>
      </c>
      <c r="G5" s="16">
        <v>11256.910285918879</v>
      </c>
      <c r="H5" s="16">
        <v>5243.790752391182</v>
      </c>
      <c r="I5" s="16">
        <v>6033.39230729886</v>
      </c>
      <c r="J5" s="6"/>
      <c r="K5" s="15" t="s">
        <v>12</v>
      </c>
      <c r="L5" s="16">
        <v>5486.745076978161</v>
      </c>
      <c r="M5" s="16">
        <v>6762.255281059793</v>
      </c>
      <c r="N5" s="16">
        <v>6033.39230729886</v>
      </c>
      <c r="O5" s="16">
        <v>5717.551685335789</v>
      </c>
      <c r="P5" s="16">
        <v>11256.910285918879</v>
      </c>
      <c r="Q5" s="16">
        <v>5243.790752391182</v>
      </c>
      <c r="R5" s="16">
        <v>6033.39230729886</v>
      </c>
      <c r="S5" s="6"/>
      <c r="T5" s="6"/>
      <c r="U5" s="6"/>
      <c r="V5" s="6"/>
      <c r="W5" s="6"/>
      <c r="X5" s="6"/>
      <c r="Y5" s="6"/>
      <c r="Z5" s="6"/>
      <c r="AA5" s="6"/>
    </row>
    <row r="6">
      <c r="A6" s="12"/>
      <c r="B6" s="15" t="s">
        <v>13</v>
      </c>
      <c r="C6" s="16">
        <f t="shared" ref="C6:I6" si="1">C3-C5</f>
        <v>4313.254923</v>
      </c>
      <c r="D6" s="16">
        <f t="shared" si="1"/>
        <v>3437.744719</v>
      </c>
      <c r="E6" s="16">
        <f t="shared" si="1"/>
        <v>4166.607693</v>
      </c>
      <c r="F6" s="16">
        <f t="shared" si="1"/>
        <v>4482.448315</v>
      </c>
      <c r="G6" s="16">
        <f t="shared" si="1"/>
        <v>6743.089714</v>
      </c>
      <c r="H6" s="16">
        <f t="shared" si="1"/>
        <v>4956.209248</v>
      </c>
      <c r="I6" s="16">
        <f t="shared" si="1"/>
        <v>4166.607693</v>
      </c>
      <c r="J6" s="6"/>
      <c r="K6" s="15" t="s">
        <v>13</v>
      </c>
      <c r="L6" s="16">
        <f t="shared" ref="L6:R6" si="2">L3-L5</f>
        <v>5513.254923</v>
      </c>
      <c r="M6" s="16">
        <f t="shared" si="2"/>
        <v>6237.744719</v>
      </c>
      <c r="N6" s="16">
        <f t="shared" si="2"/>
        <v>5966.607693</v>
      </c>
      <c r="O6" s="16">
        <f t="shared" si="2"/>
        <v>5782.448315</v>
      </c>
      <c r="P6" s="16">
        <f t="shared" si="2"/>
        <v>9743.089714</v>
      </c>
      <c r="Q6" s="16">
        <f t="shared" si="2"/>
        <v>4756.209248</v>
      </c>
      <c r="R6" s="16">
        <f t="shared" si="2"/>
        <v>5966.607693</v>
      </c>
      <c r="S6" s="6"/>
      <c r="T6" s="6"/>
      <c r="U6" s="6"/>
      <c r="V6" s="6"/>
      <c r="W6" s="6"/>
      <c r="X6" s="6"/>
      <c r="Y6" s="6"/>
      <c r="Z6" s="6"/>
      <c r="AA6" s="6"/>
    </row>
    <row r="7">
      <c r="A7" s="12"/>
      <c r="B7" s="17" t="s">
        <v>14</v>
      </c>
      <c r="C7" s="18">
        <f t="shared" ref="C7:I7" si="3">C5/C3</f>
        <v>0.5598719466</v>
      </c>
      <c r="D7" s="18">
        <f t="shared" si="3"/>
        <v>0.662966204</v>
      </c>
      <c r="E7" s="18">
        <f t="shared" si="3"/>
        <v>0.5915090497</v>
      </c>
      <c r="F7" s="18">
        <f t="shared" si="3"/>
        <v>0.5605442829</v>
      </c>
      <c r="G7" s="18">
        <f t="shared" si="3"/>
        <v>0.6253839048</v>
      </c>
      <c r="H7" s="18">
        <f t="shared" si="3"/>
        <v>0.5140971326</v>
      </c>
      <c r="I7" s="18">
        <f t="shared" si="3"/>
        <v>0.5915090497</v>
      </c>
      <c r="J7" s="6"/>
      <c r="K7" s="17" t="s">
        <v>14</v>
      </c>
      <c r="L7" s="18">
        <f t="shared" ref="L7:R7" si="4">L5/L3</f>
        <v>0.498795007</v>
      </c>
      <c r="M7" s="18">
        <f t="shared" si="4"/>
        <v>0.5201734832</v>
      </c>
      <c r="N7" s="18">
        <f t="shared" si="4"/>
        <v>0.5027826923</v>
      </c>
      <c r="O7" s="18">
        <f t="shared" si="4"/>
        <v>0.4971784074</v>
      </c>
      <c r="P7" s="18">
        <f t="shared" si="4"/>
        <v>0.5360433469</v>
      </c>
      <c r="Q7" s="18">
        <f t="shared" si="4"/>
        <v>0.5243790752</v>
      </c>
      <c r="R7" s="18">
        <f t="shared" si="4"/>
        <v>0.5027826923</v>
      </c>
      <c r="S7" s="6"/>
      <c r="T7" s="6"/>
      <c r="U7" s="6"/>
      <c r="V7" s="6"/>
      <c r="W7" s="6"/>
      <c r="X7" s="6"/>
      <c r="Y7" s="6"/>
      <c r="Z7" s="6"/>
      <c r="AA7" s="6"/>
    </row>
    <row r="8">
      <c r="A8" s="12"/>
      <c r="B8" s="13" t="s">
        <v>15</v>
      </c>
      <c r="C8" s="13">
        <v>18300.0</v>
      </c>
      <c r="D8" s="13">
        <v>19300.0</v>
      </c>
      <c r="E8" s="13">
        <v>19300.0</v>
      </c>
      <c r="F8" s="13">
        <v>19300.0</v>
      </c>
      <c r="G8" s="13">
        <v>30000.0</v>
      </c>
      <c r="H8" s="13">
        <v>19300.0</v>
      </c>
      <c r="I8" s="13">
        <v>19300.0</v>
      </c>
      <c r="J8" s="6"/>
      <c r="K8" s="13" t="s">
        <v>15</v>
      </c>
      <c r="L8" s="14">
        <v>21000.0</v>
      </c>
      <c r="M8" s="14">
        <v>25000.0</v>
      </c>
      <c r="N8" s="14">
        <v>23000.0</v>
      </c>
      <c r="O8" s="14">
        <v>22000.0</v>
      </c>
      <c r="P8" s="14">
        <v>39000.0</v>
      </c>
      <c r="Q8" s="14">
        <v>20000.0</v>
      </c>
      <c r="R8" s="14">
        <v>22000.0</v>
      </c>
      <c r="S8" s="6">
        <f t="shared" ref="S8:Y8" si="5">S23*2</f>
        <v>16400</v>
      </c>
      <c r="T8" s="6">
        <f t="shared" si="5"/>
        <v>19200</v>
      </c>
      <c r="U8" s="6">
        <f t="shared" si="5"/>
        <v>18000</v>
      </c>
      <c r="V8" s="6">
        <f t="shared" si="5"/>
        <v>17200</v>
      </c>
      <c r="W8" s="6">
        <f t="shared" si="5"/>
        <v>0</v>
      </c>
      <c r="X8" s="6">
        <f t="shared" si="5"/>
        <v>15600</v>
      </c>
      <c r="Y8" s="6">
        <f t="shared" si="5"/>
        <v>17200</v>
      </c>
      <c r="Z8" s="6"/>
      <c r="AA8" s="6"/>
    </row>
    <row r="9">
      <c r="A9" s="12"/>
      <c r="B9" s="15" t="s">
        <v>11</v>
      </c>
      <c r="C9" s="16">
        <v>4251.70068027211</v>
      </c>
      <c r="D9" s="16">
        <v>6802.721088435374</v>
      </c>
      <c r="E9" s="16">
        <v>5344.995140913508</v>
      </c>
      <c r="F9" s="16">
        <v>4713.313896987367</v>
      </c>
      <c r="G9" s="16">
        <v>15792.03109815355</v>
      </c>
      <c r="H9" s="16">
        <v>3765.7920310981535</v>
      </c>
      <c r="I9" s="16">
        <v>5344.995140913508</v>
      </c>
      <c r="J9" s="6"/>
      <c r="K9" s="15" t="s">
        <v>11</v>
      </c>
      <c r="L9" s="16">
        <v>4251.70068027211</v>
      </c>
      <c r="M9" s="16">
        <v>6802.721088435374</v>
      </c>
      <c r="N9" s="16">
        <v>5344.995140913508</v>
      </c>
      <c r="O9" s="16">
        <v>4713.313896987367</v>
      </c>
      <c r="P9" s="16">
        <v>15792.03109815355</v>
      </c>
      <c r="Q9" s="16">
        <v>3765.7920310981535</v>
      </c>
      <c r="R9" s="16">
        <v>5344.995140913508</v>
      </c>
      <c r="S9" s="6">
        <f t="shared" ref="S9:Y9" si="6">S8*1.2</f>
        <v>19680</v>
      </c>
      <c r="T9" s="6">
        <f t="shared" si="6"/>
        <v>23040</v>
      </c>
      <c r="U9" s="6">
        <f t="shared" si="6"/>
        <v>21600</v>
      </c>
      <c r="V9" s="6">
        <f t="shared" si="6"/>
        <v>20640</v>
      </c>
      <c r="W9" s="6">
        <f t="shared" si="6"/>
        <v>0</v>
      </c>
      <c r="X9" s="6">
        <f t="shared" si="6"/>
        <v>18720</v>
      </c>
      <c r="Y9" s="6">
        <f t="shared" si="6"/>
        <v>20640</v>
      </c>
      <c r="Z9" s="6"/>
      <c r="AA9" s="6"/>
    </row>
    <row r="10">
      <c r="A10" s="12"/>
      <c r="B10" s="15" t="s">
        <v>12</v>
      </c>
      <c r="C10" s="16">
        <v>7945.490153956321</v>
      </c>
      <c r="D10" s="16">
        <v>10496.510562119585</v>
      </c>
      <c r="E10" s="16">
        <v>9038.78461459772</v>
      </c>
      <c r="F10" s="16">
        <v>8407.103370671579</v>
      </c>
      <c r="G10" s="16">
        <v>19485.820571837758</v>
      </c>
      <c r="H10" s="16">
        <v>7459.581504782364</v>
      </c>
      <c r="I10" s="16">
        <v>9038.78461459772</v>
      </c>
      <c r="J10" s="6"/>
      <c r="K10" s="15" t="s">
        <v>12</v>
      </c>
      <c r="L10" s="16">
        <v>7945.490153956321</v>
      </c>
      <c r="M10" s="16">
        <v>10496.510562119585</v>
      </c>
      <c r="N10" s="16">
        <v>9038.78461459772</v>
      </c>
      <c r="O10" s="16">
        <v>8407.103370671579</v>
      </c>
      <c r="P10" s="16">
        <v>19485.820571837758</v>
      </c>
      <c r="Q10" s="16">
        <v>7459.581504782364</v>
      </c>
      <c r="R10" s="16">
        <v>9038.78461459772</v>
      </c>
      <c r="S10" s="6"/>
      <c r="T10" s="6"/>
      <c r="U10" s="6"/>
      <c r="V10" s="6"/>
      <c r="W10" s="6"/>
      <c r="X10" s="6"/>
      <c r="Y10" s="6"/>
      <c r="Z10" s="6"/>
      <c r="AA10" s="6"/>
    </row>
    <row r="11">
      <c r="A11" s="12"/>
      <c r="B11" s="15" t="s">
        <v>13</v>
      </c>
      <c r="C11" s="16">
        <f t="shared" ref="C11:I11" si="7">C8-C10</f>
        <v>10354.50985</v>
      </c>
      <c r="D11" s="16">
        <f t="shared" si="7"/>
        <v>8803.489438</v>
      </c>
      <c r="E11" s="16">
        <f t="shared" si="7"/>
        <v>10261.21539</v>
      </c>
      <c r="F11" s="16">
        <f t="shared" si="7"/>
        <v>10892.89663</v>
      </c>
      <c r="G11" s="16">
        <f t="shared" si="7"/>
        <v>10514.17943</v>
      </c>
      <c r="H11" s="16">
        <f t="shared" si="7"/>
        <v>11840.4185</v>
      </c>
      <c r="I11" s="16">
        <f t="shared" si="7"/>
        <v>10261.21539</v>
      </c>
      <c r="J11" s="6"/>
      <c r="K11" s="15" t="s">
        <v>13</v>
      </c>
      <c r="L11" s="16">
        <f t="shared" ref="L11:R11" si="8">L8-L10</f>
        <v>13054.50985</v>
      </c>
      <c r="M11" s="16">
        <f t="shared" si="8"/>
        <v>14503.48944</v>
      </c>
      <c r="N11" s="16">
        <f t="shared" si="8"/>
        <v>13961.21539</v>
      </c>
      <c r="O11" s="16">
        <f t="shared" si="8"/>
        <v>13592.89663</v>
      </c>
      <c r="P11" s="16">
        <f t="shared" si="8"/>
        <v>19514.17943</v>
      </c>
      <c r="Q11" s="16">
        <f t="shared" si="8"/>
        <v>12540.4185</v>
      </c>
      <c r="R11" s="16">
        <f t="shared" si="8"/>
        <v>12961.21539</v>
      </c>
      <c r="S11" s="6"/>
      <c r="T11" s="6"/>
      <c r="U11" s="6"/>
      <c r="V11" s="6"/>
      <c r="W11" s="6"/>
      <c r="X11" s="6"/>
      <c r="Y11" s="6"/>
      <c r="Z11" s="6"/>
      <c r="AA11" s="6"/>
    </row>
    <row r="12">
      <c r="A12" s="12"/>
      <c r="B12" s="17" t="s">
        <v>14</v>
      </c>
      <c r="C12" s="18">
        <f t="shared" ref="C12:I12" si="9">C10/C8</f>
        <v>0.4341797898</v>
      </c>
      <c r="D12" s="18">
        <f t="shared" si="9"/>
        <v>0.5438606509</v>
      </c>
      <c r="E12" s="18">
        <f t="shared" si="9"/>
        <v>0.468330809</v>
      </c>
      <c r="F12" s="18">
        <f t="shared" si="9"/>
        <v>0.4356012109</v>
      </c>
      <c r="G12" s="18">
        <f t="shared" si="9"/>
        <v>0.6495273524</v>
      </c>
      <c r="H12" s="18">
        <f t="shared" si="9"/>
        <v>0.3865068137</v>
      </c>
      <c r="I12" s="18">
        <f t="shared" si="9"/>
        <v>0.468330809</v>
      </c>
      <c r="J12" s="6"/>
      <c r="K12" s="17" t="s">
        <v>14</v>
      </c>
      <c r="L12" s="18">
        <f t="shared" ref="L12:R12" si="10">L10/L8</f>
        <v>0.378356674</v>
      </c>
      <c r="M12" s="18">
        <f t="shared" si="10"/>
        <v>0.4198604225</v>
      </c>
      <c r="N12" s="18">
        <f t="shared" si="10"/>
        <v>0.3929906354</v>
      </c>
      <c r="O12" s="18">
        <f t="shared" si="10"/>
        <v>0.3821410623</v>
      </c>
      <c r="P12" s="18">
        <f t="shared" si="10"/>
        <v>0.4996364249</v>
      </c>
      <c r="Q12" s="18">
        <f t="shared" si="10"/>
        <v>0.3729790752</v>
      </c>
      <c r="R12" s="18">
        <f t="shared" si="10"/>
        <v>0.4108538461</v>
      </c>
      <c r="S12" s="6"/>
      <c r="T12" s="6"/>
      <c r="U12" s="6"/>
      <c r="V12" s="6"/>
      <c r="W12" s="6"/>
      <c r="X12" s="6"/>
      <c r="Y12" s="6"/>
      <c r="Z12" s="6"/>
      <c r="AA12" s="6"/>
    </row>
    <row r="13">
      <c r="A13" s="12"/>
      <c r="B13" s="19" t="s">
        <v>16</v>
      </c>
      <c r="C13" s="19">
        <v>31900.0</v>
      </c>
      <c r="D13" s="19">
        <v>33900.0</v>
      </c>
      <c r="E13" s="19">
        <v>33900.0</v>
      </c>
      <c r="F13" s="19">
        <v>33900.0</v>
      </c>
      <c r="G13" s="19">
        <v>35000.0</v>
      </c>
      <c r="H13" s="19">
        <v>33900.0</v>
      </c>
      <c r="I13" s="19">
        <v>33900.0</v>
      </c>
      <c r="J13" s="6"/>
      <c r="K13" s="14" t="s">
        <v>16</v>
      </c>
      <c r="L13" s="14">
        <v>30000.0</v>
      </c>
      <c r="M13" s="14">
        <v>33000.0</v>
      </c>
      <c r="N13" s="14">
        <v>32000.0</v>
      </c>
      <c r="O13" s="14">
        <v>31000.0</v>
      </c>
      <c r="P13" s="14">
        <v>50000.0</v>
      </c>
      <c r="Q13" s="13">
        <v>28000.0</v>
      </c>
      <c r="R13" s="14">
        <v>31000.0</v>
      </c>
      <c r="S13" s="6">
        <f t="shared" ref="S13:Y13" si="11">S23*3</f>
        <v>24600</v>
      </c>
      <c r="T13" s="6">
        <f t="shared" si="11"/>
        <v>28800</v>
      </c>
      <c r="U13" s="6">
        <f t="shared" si="11"/>
        <v>27000</v>
      </c>
      <c r="V13" s="6">
        <f t="shared" si="11"/>
        <v>25800</v>
      </c>
      <c r="W13" s="6">
        <f t="shared" si="11"/>
        <v>0</v>
      </c>
      <c r="X13" s="6">
        <f t="shared" si="11"/>
        <v>23400</v>
      </c>
      <c r="Y13" s="6">
        <f t="shared" si="11"/>
        <v>25800</v>
      </c>
      <c r="Z13" s="6"/>
      <c r="AA13" s="6"/>
    </row>
    <row r="14">
      <c r="A14" s="12"/>
      <c r="B14" s="15" t="s">
        <v>11</v>
      </c>
      <c r="C14" s="16">
        <v>6377.551020408164</v>
      </c>
      <c r="D14" s="16">
        <v>10204.08163265306</v>
      </c>
      <c r="E14" s="16">
        <v>8017.492711370262</v>
      </c>
      <c r="F14" s="16">
        <v>7069.97084548105</v>
      </c>
      <c r="G14" s="16">
        <v>23688.046647230323</v>
      </c>
      <c r="H14" s="16">
        <v>5648.68804664723</v>
      </c>
      <c r="I14" s="16">
        <v>8017.492711370262</v>
      </c>
      <c r="J14" s="6"/>
      <c r="K14" s="15" t="s">
        <v>11</v>
      </c>
      <c r="L14" s="16">
        <v>6377.551020408164</v>
      </c>
      <c r="M14" s="16">
        <v>10204.08163265306</v>
      </c>
      <c r="N14" s="16">
        <v>8017.492711370262</v>
      </c>
      <c r="O14" s="16">
        <v>7069.97084548105</v>
      </c>
      <c r="P14" s="16">
        <v>23688.046647230323</v>
      </c>
      <c r="Q14" s="16">
        <v>5648.68804664723</v>
      </c>
      <c r="R14" s="16">
        <v>8017.492711370262</v>
      </c>
      <c r="S14" s="6">
        <f t="shared" ref="S14:Y14" si="12">L3*3</f>
        <v>33000</v>
      </c>
      <c r="T14" s="6">
        <f t="shared" si="12"/>
        <v>39000</v>
      </c>
      <c r="U14" s="6">
        <f t="shared" si="12"/>
        <v>36000</v>
      </c>
      <c r="V14" s="6">
        <f t="shared" si="12"/>
        <v>34500</v>
      </c>
      <c r="W14" s="6">
        <f t="shared" si="12"/>
        <v>63000</v>
      </c>
      <c r="X14" s="6">
        <f t="shared" si="12"/>
        <v>30000</v>
      </c>
      <c r="Y14" s="6">
        <f t="shared" si="12"/>
        <v>36000</v>
      </c>
      <c r="Z14" s="6"/>
      <c r="AA14" s="6"/>
    </row>
    <row r="15">
      <c r="A15" s="12"/>
      <c r="B15" s="15" t="s">
        <v>12</v>
      </c>
      <c r="C15" s="16">
        <v>10349.235230934479</v>
      </c>
      <c r="D15" s="16">
        <v>14175.765843179375</v>
      </c>
      <c r="E15" s="16">
        <v>11989.176921896578</v>
      </c>
      <c r="F15" s="16">
        <v>11041.655056007367</v>
      </c>
      <c r="G15" s="16">
        <v>27659.73085775664</v>
      </c>
      <c r="H15" s="16">
        <v>9620.372257173545</v>
      </c>
      <c r="I15" s="16">
        <v>11989.176921896578</v>
      </c>
      <c r="J15" s="6"/>
      <c r="K15" s="15" t="s">
        <v>12</v>
      </c>
      <c r="L15" s="16">
        <v>10349.235230934479</v>
      </c>
      <c r="M15" s="16">
        <v>14175.765843179375</v>
      </c>
      <c r="N15" s="16">
        <v>11989.176921896578</v>
      </c>
      <c r="O15" s="16">
        <v>11041.655056007367</v>
      </c>
      <c r="P15" s="16">
        <v>27659.73085775664</v>
      </c>
      <c r="Q15" s="16">
        <v>9620.372257173545</v>
      </c>
      <c r="R15" s="16">
        <v>11989.176921896578</v>
      </c>
      <c r="S15" s="6"/>
      <c r="T15" s="6"/>
      <c r="U15" s="6"/>
      <c r="V15" s="6"/>
      <c r="W15" s="6"/>
      <c r="X15" s="6"/>
      <c r="Y15" s="6"/>
      <c r="Z15" s="6"/>
      <c r="AA15" s="6"/>
    </row>
    <row r="16">
      <c r="A16" s="12"/>
      <c r="B16" s="15" t="s">
        <v>13</v>
      </c>
      <c r="C16" s="16">
        <f t="shared" ref="C16:I16" si="13">C13-C15</f>
        <v>21550.76477</v>
      </c>
      <c r="D16" s="16">
        <f t="shared" si="13"/>
        <v>19724.23416</v>
      </c>
      <c r="E16" s="16">
        <f t="shared" si="13"/>
        <v>21910.82308</v>
      </c>
      <c r="F16" s="16">
        <f t="shared" si="13"/>
        <v>22858.34494</v>
      </c>
      <c r="G16" s="16">
        <f t="shared" si="13"/>
        <v>7340.269142</v>
      </c>
      <c r="H16" s="16">
        <f t="shared" si="13"/>
        <v>24279.62774</v>
      </c>
      <c r="I16" s="16">
        <f t="shared" si="13"/>
        <v>21910.82308</v>
      </c>
      <c r="J16" s="6"/>
      <c r="K16" s="15" t="s">
        <v>13</v>
      </c>
      <c r="L16" s="16">
        <f t="shared" ref="L16:R16" si="14">L13-L15</f>
        <v>19650.76477</v>
      </c>
      <c r="M16" s="16">
        <f t="shared" si="14"/>
        <v>18824.23416</v>
      </c>
      <c r="N16" s="16">
        <f t="shared" si="14"/>
        <v>20010.82308</v>
      </c>
      <c r="O16" s="16">
        <f t="shared" si="14"/>
        <v>19958.34494</v>
      </c>
      <c r="P16" s="16">
        <f t="shared" si="14"/>
        <v>22340.26914</v>
      </c>
      <c r="Q16" s="16">
        <f t="shared" si="14"/>
        <v>18379.62774</v>
      </c>
      <c r="R16" s="16">
        <f t="shared" si="14"/>
        <v>19010.82308</v>
      </c>
      <c r="S16" s="6"/>
      <c r="T16" s="6"/>
      <c r="U16" s="6"/>
      <c r="V16" s="6"/>
      <c r="W16" s="6"/>
      <c r="X16" s="6"/>
      <c r="Y16" s="6"/>
      <c r="Z16" s="6"/>
      <c r="AA16" s="6"/>
    </row>
    <row r="17">
      <c r="A17" s="12"/>
      <c r="B17" s="17" t="s">
        <v>14</v>
      </c>
      <c r="C17" s="18">
        <f t="shared" ref="C17:I17" si="15">C15/C13</f>
        <v>0.3244274367</v>
      </c>
      <c r="D17" s="18">
        <f t="shared" si="15"/>
        <v>0.4181641842</v>
      </c>
      <c r="E17" s="18">
        <f t="shared" si="15"/>
        <v>0.353663036</v>
      </c>
      <c r="F17" s="18">
        <f t="shared" si="15"/>
        <v>0.3257125385</v>
      </c>
      <c r="G17" s="18">
        <f t="shared" si="15"/>
        <v>0.7902780245</v>
      </c>
      <c r="H17" s="18">
        <f t="shared" si="15"/>
        <v>0.2837867922</v>
      </c>
      <c r="I17" s="18">
        <f t="shared" si="15"/>
        <v>0.353663036</v>
      </c>
      <c r="J17" s="6"/>
      <c r="K17" s="17" t="s">
        <v>14</v>
      </c>
      <c r="L17" s="18">
        <f t="shared" ref="L17:R17" si="16">L15/L13</f>
        <v>0.3449745077</v>
      </c>
      <c r="M17" s="18">
        <f t="shared" si="16"/>
        <v>0.4295686619</v>
      </c>
      <c r="N17" s="18">
        <f t="shared" si="16"/>
        <v>0.3746617788</v>
      </c>
      <c r="O17" s="18">
        <f t="shared" si="16"/>
        <v>0.3561824212</v>
      </c>
      <c r="P17" s="18">
        <f t="shared" si="16"/>
        <v>0.5531946172</v>
      </c>
      <c r="Q17" s="18">
        <f t="shared" si="16"/>
        <v>0.3435847235</v>
      </c>
      <c r="R17" s="18">
        <f t="shared" si="16"/>
        <v>0.3867476426</v>
      </c>
      <c r="S17" s="6"/>
      <c r="T17" s="6"/>
      <c r="U17" s="6"/>
      <c r="V17" s="6"/>
      <c r="W17" s="6"/>
      <c r="X17" s="6"/>
      <c r="Y17" s="6"/>
      <c r="Z17" s="6"/>
      <c r="AA17" s="6"/>
    </row>
    <row r="18">
      <c r="A18" s="12"/>
      <c r="B18" s="13" t="s">
        <v>17</v>
      </c>
      <c r="C18" s="13">
        <v>32900.0</v>
      </c>
      <c r="D18" s="13">
        <v>34900.0</v>
      </c>
      <c r="E18" s="13">
        <v>34900.0</v>
      </c>
      <c r="F18" s="13">
        <v>34900.0</v>
      </c>
      <c r="G18" s="13">
        <v>40000.0</v>
      </c>
      <c r="H18" s="13">
        <v>34900.0</v>
      </c>
      <c r="I18" s="13">
        <v>34900.0</v>
      </c>
      <c r="J18" s="6"/>
      <c r="K18" s="20" t="s">
        <v>17</v>
      </c>
      <c r="L18" s="20">
        <v>35000.0</v>
      </c>
      <c r="M18" s="20">
        <v>39000.0</v>
      </c>
      <c r="N18" s="20">
        <v>38000.0</v>
      </c>
      <c r="O18" s="20">
        <v>36500.0</v>
      </c>
      <c r="P18" s="20">
        <v>58000.0</v>
      </c>
      <c r="Q18" s="20">
        <v>33000.0</v>
      </c>
      <c r="R18" s="20">
        <v>36500.0</v>
      </c>
      <c r="S18" s="21">
        <f t="shared" ref="S18:Y18" si="17">L13/300*340</f>
        <v>34000</v>
      </c>
      <c r="T18" s="21">
        <f t="shared" si="17"/>
        <v>37400</v>
      </c>
      <c r="U18" s="21">
        <f t="shared" si="17"/>
        <v>36266.66667</v>
      </c>
      <c r="V18" s="21">
        <f t="shared" si="17"/>
        <v>35133.33333</v>
      </c>
      <c r="W18" s="21">
        <f t="shared" si="17"/>
        <v>56666.66667</v>
      </c>
      <c r="X18" s="21">
        <f t="shared" si="17"/>
        <v>31733.33333</v>
      </c>
      <c r="Y18" s="21">
        <f t="shared" si="17"/>
        <v>35133.33333</v>
      </c>
      <c r="Z18" s="6"/>
      <c r="AA18" s="6"/>
    </row>
    <row r="19">
      <c r="A19" s="12"/>
      <c r="B19" s="15" t="s">
        <v>11</v>
      </c>
      <c r="C19" s="16">
        <v>7227.891156462599</v>
      </c>
      <c r="D19" s="16">
        <v>11564.625850340157</v>
      </c>
      <c r="E19" s="16">
        <v>9086.491739552981</v>
      </c>
      <c r="F19" s="16">
        <v>8012.633624878537</v>
      </c>
      <c r="G19" s="16">
        <v>26846.45286686108</v>
      </c>
      <c r="H19" s="16">
        <v>6401.846452866872</v>
      </c>
      <c r="I19" s="16">
        <v>9086.491739552981</v>
      </c>
      <c r="J19" s="6"/>
      <c r="K19" s="15" t="s">
        <v>11</v>
      </c>
      <c r="L19" s="16">
        <v>7227.891156462599</v>
      </c>
      <c r="M19" s="16">
        <v>11564.625850340157</v>
      </c>
      <c r="N19" s="16">
        <v>9086.491739552981</v>
      </c>
      <c r="O19" s="16">
        <v>8012.633624878537</v>
      </c>
      <c r="P19" s="16">
        <v>26846.45286686108</v>
      </c>
      <c r="Q19" s="16">
        <v>6401.846452866872</v>
      </c>
      <c r="R19" s="16">
        <v>9086.491739552981</v>
      </c>
      <c r="S19" s="6"/>
      <c r="T19" s="6"/>
      <c r="U19" s="6"/>
      <c r="V19" s="6"/>
      <c r="W19" s="6"/>
      <c r="X19" s="6"/>
      <c r="Y19" s="6"/>
      <c r="Z19" s="6"/>
      <c r="AA19" s="6"/>
    </row>
    <row r="20">
      <c r="A20" s="12"/>
      <c r="B20" s="15" t="s">
        <v>12</v>
      </c>
      <c r="C20" s="16">
        <v>11277.733261725756</v>
      </c>
      <c r="D20" s="16">
        <v>15614.467955603315</v>
      </c>
      <c r="E20" s="16">
        <v>13136.33384481614</v>
      </c>
      <c r="F20" s="16">
        <v>12062.475730141696</v>
      </c>
      <c r="G20" s="16">
        <v>30896.294972124237</v>
      </c>
      <c r="H20" s="16">
        <v>10451.68855813003</v>
      </c>
      <c r="I20" s="16">
        <v>13136.33384481614</v>
      </c>
      <c r="J20" s="6"/>
      <c r="K20" s="15" t="s">
        <v>12</v>
      </c>
      <c r="L20" s="16">
        <v>11277.733261725756</v>
      </c>
      <c r="M20" s="16">
        <v>15614.467955603315</v>
      </c>
      <c r="N20" s="16">
        <v>13136.33384481614</v>
      </c>
      <c r="O20" s="16">
        <v>12062.475730141696</v>
      </c>
      <c r="P20" s="16">
        <v>30896.294972124237</v>
      </c>
      <c r="Q20" s="16">
        <v>10451.68855813003</v>
      </c>
      <c r="R20" s="16">
        <v>13136.33384481614</v>
      </c>
      <c r="S20" s="6"/>
      <c r="T20" s="6"/>
      <c r="U20" s="6"/>
      <c r="V20" s="6"/>
      <c r="W20" s="6"/>
      <c r="X20" s="6"/>
      <c r="Y20" s="6"/>
      <c r="Z20" s="6"/>
      <c r="AA20" s="6"/>
    </row>
    <row r="21">
      <c r="A21" s="12"/>
      <c r="B21" s="15" t="s">
        <v>13</v>
      </c>
      <c r="C21" s="16">
        <f t="shared" ref="C21:I21" si="18">C18-C20</f>
        <v>21622.26674</v>
      </c>
      <c r="D21" s="16">
        <f t="shared" si="18"/>
        <v>19285.53204</v>
      </c>
      <c r="E21" s="16">
        <f t="shared" si="18"/>
        <v>21763.66616</v>
      </c>
      <c r="F21" s="16">
        <f t="shared" si="18"/>
        <v>22837.52427</v>
      </c>
      <c r="G21" s="16">
        <f t="shared" si="18"/>
        <v>9103.705028</v>
      </c>
      <c r="H21" s="16">
        <f t="shared" si="18"/>
        <v>24448.31144</v>
      </c>
      <c r="I21" s="16">
        <f t="shared" si="18"/>
        <v>21763.66616</v>
      </c>
      <c r="J21" s="6"/>
      <c r="K21" s="15" t="s">
        <v>13</v>
      </c>
      <c r="L21" s="16">
        <f t="shared" ref="L21:R21" si="19">L18-L20</f>
        <v>23722.26674</v>
      </c>
      <c r="M21" s="16">
        <f t="shared" si="19"/>
        <v>23385.53204</v>
      </c>
      <c r="N21" s="16">
        <f t="shared" si="19"/>
        <v>24863.66616</v>
      </c>
      <c r="O21" s="16">
        <f t="shared" si="19"/>
        <v>24437.52427</v>
      </c>
      <c r="P21" s="16">
        <f t="shared" si="19"/>
        <v>27103.70503</v>
      </c>
      <c r="Q21" s="16">
        <f t="shared" si="19"/>
        <v>22548.31144</v>
      </c>
      <c r="R21" s="16">
        <f t="shared" si="19"/>
        <v>23363.66616</v>
      </c>
      <c r="S21" s="6"/>
      <c r="T21" s="6"/>
      <c r="U21" s="6"/>
      <c r="V21" s="6"/>
      <c r="W21" s="6"/>
      <c r="X21" s="6"/>
      <c r="Y21" s="6"/>
      <c r="Z21" s="6"/>
      <c r="AA21" s="6"/>
    </row>
    <row r="22">
      <c r="A22" s="12"/>
      <c r="B22" s="17" t="s">
        <v>14</v>
      </c>
      <c r="C22" s="18">
        <f t="shared" ref="C22:I22" si="20">C20/C18</f>
        <v>0.342788245</v>
      </c>
      <c r="D22" s="18">
        <f t="shared" si="20"/>
        <v>0.4474059586</v>
      </c>
      <c r="E22" s="18">
        <f t="shared" si="20"/>
        <v>0.3763992506</v>
      </c>
      <c r="F22" s="18">
        <f t="shared" si="20"/>
        <v>0.3456296771</v>
      </c>
      <c r="G22" s="18">
        <f t="shared" si="20"/>
        <v>0.7724073743</v>
      </c>
      <c r="H22" s="18">
        <f t="shared" si="20"/>
        <v>0.2994753169</v>
      </c>
      <c r="I22" s="18">
        <f t="shared" si="20"/>
        <v>0.3763992506</v>
      </c>
      <c r="J22" s="6"/>
      <c r="K22" s="17" t="s">
        <v>14</v>
      </c>
      <c r="L22" s="18">
        <f t="shared" ref="L22:R22" si="21">L20/L18</f>
        <v>0.3222209503</v>
      </c>
      <c r="M22" s="18">
        <f t="shared" si="21"/>
        <v>0.4003709732</v>
      </c>
      <c r="N22" s="18">
        <f t="shared" si="21"/>
        <v>0.3456929959</v>
      </c>
      <c r="O22" s="18">
        <f t="shared" si="21"/>
        <v>0.3304787871</v>
      </c>
      <c r="P22" s="18">
        <f t="shared" si="21"/>
        <v>0.5326947409</v>
      </c>
      <c r="Q22" s="18">
        <f t="shared" si="21"/>
        <v>0.3167178351</v>
      </c>
      <c r="R22" s="18">
        <f t="shared" si="21"/>
        <v>0.3598995574</v>
      </c>
      <c r="S22" s="6"/>
      <c r="T22" s="6"/>
      <c r="U22" s="6"/>
      <c r="V22" s="6"/>
      <c r="W22" s="6"/>
      <c r="X22" s="6"/>
      <c r="Y22" s="6"/>
      <c r="Z22" s="6"/>
      <c r="AA22" s="6"/>
    </row>
    <row r="23">
      <c r="A23" s="12"/>
      <c r="B23" s="13" t="s">
        <v>18</v>
      </c>
      <c r="C23" s="13">
        <v>33500.0</v>
      </c>
      <c r="D23" s="13">
        <v>36500.0</v>
      </c>
      <c r="E23" s="13">
        <v>36500.0</v>
      </c>
      <c r="F23" s="13">
        <v>36500.0</v>
      </c>
      <c r="G23" s="13"/>
      <c r="H23" s="13">
        <v>36500.0</v>
      </c>
      <c r="I23" s="13">
        <v>36500.0</v>
      </c>
      <c r="J23" s="6"/>
      <c r="K23" s="13" t="s">
        <v>18</v>
      </c>
      <c r="L23" s="14">
        <v>41000.0</v>
      </c>
      <c r="M23" s="14">
        <v>48000.0</v>
      </c>
      <c r="N23" s="14">
        <v>45000.0</v>
      </c>
      <c r="O23" s="13">
        <v>43000.0</v>
      </c>
      <c r="P23" s="13"/>
      <c r="Q23" s="14">
        <v>39000.0</v>
      </c>
      <c r="R23" s="14">
        <v>43000.0</v>
      </c>
      <c r="S23" s="6">
        <f t="shared" ref="S23:Y23" si="22">L23/5</f>
        <v>8200</v>
      </c>
      <c r="T23" s="6">
        <f t="shared" si="22"/>
        <v>9600</v>
      </c>
      <c r="U23" s="6">
        <f t="shared" si="22"/>
        <v>9000</v>
      </c>
      <c r="V23" s="6">
        <f t="shared" si="22"/>
        <v>8600</v>
      </c>
      <c r="W23" s="6">
        <f t="shared" si="22"/>
        <v>0</v>
      </c>
      <c r="X23" s="6">
        <f t="shared" si="22"/>
        <v>7800</v>
      </c>
      <c r="Y23" s="6">
        <f t="shared" si="22"/>
        <v>8600</v>
      </c>
      <c r="Z23" s="6"/>
      <c r="AA23" s="6"/>
    </row>
    <row r="24">
      <c r="A24" s="12"/>
      <c r="B24" s="15" t="s">
        <v>11</v>
      </c>
      <c r="C24" s="16">
        <v>10629.251700680274</v>
      </c>
      <c r="D24" s="16">
        <v>17006.802721088436</v>
      </c>
      <c r="E24" s="16">
        <v>13362.487852283772</v>
      </c>
      <c r="F24" s="16">
        <v>11783.284742468417</v>
      </c>
      <c r="G24" s="16"/>
      <c r="H24" s="16">
        <v>9414.480077745384</v>
      </c>
      <c r="I24" s="16">
        <v>13362.487852283772</v>
      </c>
      <c r="J24" s="6"/>
      <c r="K24" s="15" t="s">
        <v>11</v>
      </c>
      <c r="L24" s="16">
        <v>10629.251700680274</v>
      </c>
      <c r="M24" s="16">
        <v>17006.802721088436</v>
      </c>
      <c r="N24" s="16">
        <v>13362.487852283772</v>
      </c>
      <c r="O24" s="16">
        <v>11783.284742468417</v>
      </c>
      <c r="P24" s="16"/>
      <c r="Q24" s="16">
        <v>9414.480077745384</v>
      </c>
      <c r="R24" s="16">
        <v>13362.487852283772</v>
      </c>
      <c r="S24" s="6"/>
      <c r="T24" s="6"/>
      <c r="U24" s="6"/>
      <c r="V24" s="6"/>
      <c r="W24" s="6"/>
      <c r="X24" s="6"/>
      <c r="Y24" s="6"/>
      <c r="Z24" s="6"/>
      <c r="AA24" s="6"/>
    </row>
    <row r="25">
      <c r="A25" s="12"/>
      <c r="B25" s="15" t="s">
        <v>12</v>
      </c>
      <c r="C25" s="16">
        <v>15101.7253848908</v>
      </c>
      <c r="D25" s="16">
        <v>21567.276405298962</v>
      </c>
      <c r="E25" s="16">
        <v>17922.9615364943</v>
      </c>
      <c r="F25" s="16">
        <v>16343.758426678944</v>
      </c>
      <c r="G25" s="16"/>
      <c r="H25" s="16">
        <v>13974.95376195591</v>
      </c>
      <c r="I25" s="16">
        <v>17922.9615364943</v>
      </c>
      <c r="J25" s="6"/>
      <c r="K25" s="15" t="s">
        <v>12</v>
      </c>
      <c r="L25" s="16">
        <v>15101.7253848908</v>
      </c>
      <c r="M25" s="16">
        <v>21567.276405298962</v>
      </c>
      <c r="N25" s="16">
        <v>17922.9615364943</v>
      </c>
      <c r="O25" s="16">
        <v>16343.758426678944</v>
      </c>
      <c r="P25" s="16"/>
      <c r="Q25" s="16">
        <v>13974.95376195591</v>
      </c>
      <c r="R25" s="16">
        <v>17922.9615364943</v>
      </c>
      <c r="S25" s="6"/>
      <c r="T25" s="6"/>
      <c r="U25" s="6"/>
      <c r="V25" s="6"/>
      <c r="W25" s="6"/>
      <c r="X25" s="6"/>
      <c r="Y25" s="6"/>
      <c r="Z25" s="6"/>
      <c r="AA25" s="6"/>
    </row>
    <row r="26">
      <c r="A26" s="12"/>
      <c r="B26" s="15" t="s">
        <v>13</v>
      </c>
      <c r="C26" s="16">
        <f t="shared" ref="C26:F26" si="23">C23-C25</f>
        <v>18398.27462</v>
      </c>
      <c r="D26" s="16">
        <f t="shared" si="23"/>
        <v>14932.72359</v>
      </c>
      <c r="E26" s="16">
        <f t="shared" si="23"/>
        <v>18577.03846</v>
      </c>
      <c r="F26" s="16">
        <f t="shared" si="23"/>
        <v>20156.24157</v>
      </c>
      <c r="G26" s="16"/>
      <c r="H26" s="16">
        <f t="shared" ref="H26:I26" si="24">H23-H25</f>
        <v>22525.04624</v>
      </c>
      <c r="I26" s="16">
        <f t="shared" si="24"/>
        <v>18577.03846</v>
      </c>
      <c r="J26" s="6"/>
      <c r="K26" s="15" t="s">
        <v>13</v>
      </c>
      <c r="L26" s="16">
        <f t="shared" ref="L26:R26" si="25">L23-L25</f>
        <v>25898.27462</v>
      </c>
      <c r="M26" s="16">
        <f t="shared" si="25"/>
        <v>26432.72359</v>
      </c>
      <c r="N26" s="16">
        <f t="shared" si="25"/>
        <v>27077.03846</v>
      </c>
      <c r="O26" s="16">
        <f t="shared" si="25"/>
        <v>26656.24157</v>
      </c>
      <c r="P26" s="16">
        <f t="shared" si="25"/>
        <v>0</v>
      </c>
      <c r="Q26" s="16">
        <f t="shared" si="25"/>
        <v>25025.04624</v>
      </c>
      <c r="R26" s="16">
        <f t="shared" si="25"/>
        <v>25077.03846</v>
      </c>
      <c r="S26" s="6"/>
      <c r="T26" s="6"/>
      <c r="U26" s="6"/>
      <c r="V26" s="6"/>
      <c r="W26" s="6"/>
      <c r="X26" s="6"/>
      <c r="Y26" s="6"/>
      <c r="Z26" s="6"/>
      <c r="AA26" s="6"/>
    </row>
    <row r="27">
      <c r="A27" s="12"/>
      <c r="B27" s="17" t="s">
        <v>14</v>
      </c>
      <c r="C27" s="18">
        <f t="shared" ref="C27:F27" si="26">C25/C23</f>
        <v>0.4507977727</v>
      </c>
      <c r="D27" s="18">
        <f t="shared" si="26"/>
        <v>0.5908842851</v>
      </c>
      <c r="E27" s="18">
        <f t="shared" si="26"/>
        <v>0.4910400421</v>
      </c>
      <c r="F27" s="18">
        <f t="shared" si="26"/>
        <v>0.4477742035</v>
      </c>
      <c r="G27" s="16"/>
      <c r="H27" s="18">
        <f t="shared" ref="H27:I27" si="27">H25/H23</f>
        <v>0.3828754455</v>
      </c>
      <c r="I27" s="18">
        <f t="shared" si="27"/>
        <v>0.4910400421</v>
      </c>
      <c r="J27" s="6"/>
      <c r="K27" s="17" t="s">
        <v>14</v>
      </c>
      <c r="L27" s="18">
        <f t="shared" ref="L27:O27" si="28">L25/L23</f>
        <v>0.3683347655</v>
      </c>
      <c r="M27" s="18">
        <f t="shared" si="28"/>
        <v>0.4493182584</v>
      </c>
      <c r="N27" s="18">
        <f t="shared" si="28"/>
        <v>0.3982880341</v>
      </c>
      <c r="O27" s="18">
        <f t="shared" si="28"/>
        <v>0.3800874053</v>
      </c>
      <c r="P27" s="18"/>
      <c r="Q27" s="18">
        <f t="shared" ref="Q27:R27" si="29">Q25/Q23</f>
        <v>0.3583321477</v>
      </c>
      <c r="R27" s="18">
        <f t="shared" si="29"/>
        <v>0.416813059</v>
      </c>
      <c r="S27" s="6"/>
      <c r="T27" s="6"/>
      <c r="U27" s="6"/>
      <c r="V27" s="6"/>
      <c r="W27" s="6"/>
      <c r="X27" s="6"/>
      <c r="Y27" s="6"/>
      <c r="Z27" s="6"/>
      <c r="AA27" s="6"/>
    </row>
    <row r="28">
      <c r="A28" s="12"/>
      <c r="B28" s="13" t="s">
        <v>19</v>
      </c>
      <c r="C28" s="13">
        <v>55000.0</v>
      </c>
      <c r="D28" s="13">
        <v>55000.0</v>
      </c>
      <c r="E28" s="13">
        <v>55000.0</v>
      </c>
      <c r="F28" s="13">
        <v>55000.0</v>
      </c>
      <c r="G28" s="13"/>
      <c r="H28" s="13">
        <v>55000.0</v>
      </c>
      <c r="I28" s="13">
        <v>55000.0</v>
      </c>
      <c r="J28" s="6"/>
      <c r="K28" s="13" t="s">
        <v>19</v>
      </c>
      <c r="L28" s="14">
        <v>76000.0</v>
      </c>
      <c r="M28" s="14">
        <v>90000.0</v>
      </c>
      <c r="N28" s="14">
        <v>84000.0</v>
      </c>
      <c r="O28" s="14">
        <v>80000.0</v>
      </c>
      <c r="P28" s="13"/>
      <c r="Q28" s="14">
        <v>72000.0</v>
      </c>
      <c r="R28" s="14">
        <v>80000.0</v>
      </c>
      <c r="S28" s="6">
        <f t="shared" ref="S28:Y28" si="30">L23*2</f>
        <v>82000</v>
      </c>
      <c r="T28" s="6">
        <f t="shared" si="30"/>
        <v>96000</v>
      </c>
      <c r="U28" s="6">
        <f t="shared" si="30"/>
        <v>90000</v>
      </c>
      <c r="V28" s="6">
        <f t="shared" si="30"/>
        <v>86000</v>
      </c>
      <c r="W28" s="6">
        <f t="shared" si="30"/>
        <v>0</v>
      </c>
      <c r="X28" s="6">
        <f t="shared" si="30"/>
        <v>78000</v>
      </c>
      <c r="Y28" s="6">
        <f t="shared" si="30"/>
        <v>86000</v>
      </c>
      <c r="Z28" s="6"/>
      <c r="AA28" s="6"/>
    </row>
    <row r="29">
      <c r="A29" s="12"/>
      <c r="B29" s="15" t="s">
        <v>11</v>
      </c>
      <c r="C29" s="16">
        <v>21258.503401360547</v>
      </c>
      <c r="D29" s="16">
        <v>34013.60544217687</v>
      </c>
      <c r="E29" s="16">
        <v>26724.975704567543</v>
      </c>
      <c r="F29" s="16">
        <v>23566.569484936834</v>
      </c>
      <c r="G29" s="16"/>
      <c r="H29" s="16">
        <v>18828.960155490768</v>
      </c>
      <c r="I29" s="16">
        <v>26724.975704567543</v>
      </c>
      <c r="J29" s="6"/>
      <c r="K29" s="15" t="s">
        <v>11</v>
      </c>
      <c r="L29" s="16">
        <v>21258.503401360547</v>
      </c>
      <c r="M29" s="16">
        <v>34013.60544217687</v>
      </c>
      <c r="N29" s="16">
        <v>26724.975704567543</v>
      </c>
      <c r="O29" s="16">
        <v>23566.569484936834</v>
      </c>
      <c r="P29" s="16"/>
      <c r="Q29" s="16">
        <v>18828.960155490768</v>
      </c>
      <c r="R29" s="16">
        <v>26724.975704567543</v>
      </c>
      <c r="S29" s="6"/>
      <c r="T29" s="6"/>
      <c r="U29" s="6"/>
      <c r="V29" s="6"/>
      <c r="W29" s="6"/>
      <c r="X29" s="6"/>
      <c r="Y29" s="6"/>
      <c r="Z29" s="6"/>
      <c r="AA29" s="6"/>
    </row>
    <row r="30">
      <c r="A30" s="12"/>
      <c r="B30" s="15" t="s">
        <v>12</v>
      </c>
      <c r="C30" s="16">
        <v>27120.4507697816</v>
      </c>
      <c r="D30" s="16">
        <v>39963.552810597925</v>
      </c>
      <c r="E30" s="16">
        <v>32674.923072988597</v>
      </c>
      <c r="F30" s="16">
        <v>29516.516853357887</v>
      </c>
      <c r="G30" s="16"/>
      <c r="H30" s="16">
        <v>24778.90752391182</v>
      </c>
      <c r="I30" s="16">
        <v>32674.923072988597</v>
      </c>
      <c r="J30" s="6"/>
      <c r="K30" s="15" t="s">
        <v>12</v>
      </c>
      <c r="L30" s="16">
        <v>27120.4507697816</v>
      </c>
      <c r="M30" s="16">
        <v>39963.552810597925</v>
      </c>
      <c r="N30" s="16">
        <v>32674.923072988597</v>
      </c>
      <c r="O30" s="16">
        <v>29516.516853357887</v>
      </c>
      <c r="P30" s="16"/>
      <c r="Q30" s="16">
        <v>24778.90752391182</v>
      </c>
      <c r="R30" s="16">
        <v>32674.923072988597</v>
      </c>
      <c r="S30" s="6"/>
      <c r="T30" s="6"/>
      <c r="U30" s="6"/>
      <c r="V30" s="6"/>
      <c r="W30" s="6"/>
      <c r="X30" s="6"/>
      <c r="Y30" s="6"/>
      <c r="Z30" s="6"/>
      <c r="AA30" s="6"/>
    </row>
    <row r="31">
      <c r="A31" s="12"/>
      <c r="B31" s="15" t="s">
        <v>13</v>
      </c>
      <c r="C31" s="16">
        <f t="shared" ref="C31:I31" si="31">C28-C30</f>
        <v>27879.54923</v>
      </c>
      <c r="D31" s="16">
        <f t="shared" si="31"/>
        <v>15036.44719</v>
      </c>
      <c r="E31" s="16">
        <f t="shared" si="31"/>
        <v>22325.07693</v>
      </c>
      <c r="F31" s="16">
        <f t="shared" si="31"/>
        <v>25483.48315</v>
      </c>
      <c r="G31" s="16">
        <f t="shared" si="31"/>
        <v>0</v>
      </c>
      <c r="H31" s="16">
        <f t="shared" si="31"/>
        <v>30221.09248</v>
      </c>
      <c r="I31" s="16">
        <f t="shared" si="31"/>
        <v>22325.07693</v>
      </c>
      <c r="J31" s="6"/>
      <c r="K31" s="15" t="s">
        <v>13</v>
      </c>
      <c r="L31" s="16">
        <f t="shared" ref="L31:R31" si="32">L28-L30</f>
        <v>48879.54923</v>
      </c>
      <c r="M31" s="16">
        <f t="shared" si="32"/>
        <v>50036.44719</v>
      </c>
      <c r="N31" s="16">
        <f t="shared" si="32"/>
        <v>51325.07693</v>
      </c>
      <c r="O31" s="16">
        <f t="shared" si="32"/>
        <v>50483.48315</v>
      </c>
      <c r="P31" s="16">
        <f t="shared" si="32"/>
        <v>0</v>
      </c>
      <c r="Q31" s="16">
        <f t="shared" si="32"/>
        <v>47221.09248</v>
      </c>
      <c r="R31" s="16">
        <f t="shared" si="32"/>
        <v>47325.07693</v>
      </c>
      <c r="S31" s="6"/>
      <c r="T31" s="6"/>
      <c r="U31" s="6"/>
      <c r="V31" s="6"/>
      <c r="W31" s="6"/>
      <c r="X31" s="6"/>
      <c r="Y31" s="6"/>
      <c r="Z31" s="6"/>
      <c r="AA31" s="6"/>
    </row>
    <row r="32">
      <c r="A32" s="22"/>
      <c r="B32" s="17" t="s">
        <v>14</v>
      </c>
      <c r="C32" s="18">
        <f t="shared" ref="C32:F32" si="33">C30/C28</f>
        <v>0.4930991049</v>
      </c>
      <c r="D32" s="18">
        <f t="shared" si="33"/>
        <v>0.7266100511</v>
      </c>
      <c r="E32" s="18">
        <f t="shared" si="33"/>
        <v>0.5940895104</v>
      </c>
      <c r="F32" s="18">
        <f t="shared" si="33"/>
        <v>0.5366639428</v>
      </c>
      <c r="G32" s="18"/>
      <c r="H32" s="18">
        <f t="shared" ref="H32:I32" si="34">H30/H28</f>
        <v>0.4505255913</v>
      </c>
      <c r="I32" s="18">
        <f t="shared" si="34"/>
        <v>0.5940895104</v>
      </c>
      <c r="J32" s="6"/>
      <c r="K32" s="17" t="s">
        <v>14</v>
      </c>
      <c r="L32" s="18">
        <f t="shared" ref="L32:O32" si="35">L30/L28</f>
        <v>0.3568480364</v>
      </c>
      <c r="M32" s="18">
        <f t="shared" si="35"/>
        <v>0.4440394757</v>
      </c>
      <c r="N32" s="18">
        <f t="shared" si="35"/>
        <v>0.3889871794</v>
      </c>
      <c r="O32" s="18">
        <f t="shared" si="35"/>
        <v>0.3689564607</v>
      </c>
      <c r="P32" s="18"/>
      <c r="Q32" s="18">
        <f t="shared" ref="Q32:R32" si="36">Q30/Q28</f>
        <v>0.3441514934</v>
      </c>
      <c r="R32" s="18">
        <f t="shared" si="36"/>
        <v>0.4084365384</v>
      </c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23" t="s">
        <v>20</v>
      </c>
      <c r="B34" s="24"/>
      <c r="C34" s="25" t="s">
        <v>21</v>
      </c>
      <c r="D34" s="25" t="s">
        <v>22</v>
      </c>
      <c r="E34" s="25" t="s">
        <v>23</v>
      </c>
      <c r="F34" s="25" t="s">
        <v>24</v>
      </c>
      <c r="G34" s="26"/>
      <c r="H34" s="26"/>
      <c r="I34" s="26"/>
      <c r="J34" s="6"/>
      <c r="K34" s="6"/>
      <c r="L34" s="27" t="s">
        <v>25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2"/>
      <c r="B35" s="8"/>
      <c r="C35" s="25" t="s">
        <v>26</v>
      </c>
      <c r="D35" s="25" t="s">
        <v>27</v>
      </c>
      <c r="E35" s="25" t="s">
        <v>28</v>
      </c>
      <c r="F35" s="25" t="s">
        <v>24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2"/>
      <c r="B36" s="28" t="s">
        <v>19</v>
      </c>
      <c r="C36" s="29">
        <v>26000.0</v>
      </c>
      <c r="D36" s="29">
        <v>29000.0</v>
      </c>
      <c r="E36" s="29">
        <v>32000.0</v>
      </c>
      <c r="F36" s="29">
        <v>35000.0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2"/>
      <c r="B37" s="15" t="s">
        <v>11</v>
      </c>
      <c r="C37" s="30">
        <f t="shared" ref="C37:F37" si="37">C36*0.5</f>
        <v>13000</v>
      </c>
      <c r="D37" s="30">
        <f t="shared" si="37"/>
        <v>14500</v>
      </c>
      <c r="E37" s="30">
        <f t="shared" si="37"/>
        <v>16000</v>
      </c>
      <c r="F37" s="30">
        <f t="shared" si="37"/>
        <v>17500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2"/>
      <c r="B38" s="15" t="s">
        <v>12</v>
      </c>
      <c r="C38" s="30">
        <f t="shared" ref="C38:F38" si="38">C37+4000</f>
        <v>17000</v>
      </c>
      <c r="D38" s="30">
        <f t="shared" si="38"/>
        <v>18500</v>
      </c>
      <c r="E38" s="30">
        <f t="shared" si="38"/>
        <v>20000</v>
      </c>
      <c r="F38" s="30">
        <f t="shared" si="38"/>
        <v>21500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2"/>
      <c r="B39" s="15" t="s">
        <v>13</v>
      </c>
      <c r="C39" s="30">
        <f t="shared" ref="C39:F39" si="39">C36-C38</f>
        <v>9000</v>
      </c>
      <c r="D39" s="30">
        <f t="shared" si="39"/>
        <v>10500</v>
      </c>
      <c r="E39" s="30">
        <f t="shared" si="39"/>
        <v>12000</v>
      </c>
      <c r="F39" s="30">
        <f t="shared" si="39"/>
        <v>13500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22"/>
      <c r="B40" s="17" t="s">
        <v>14</v>
      </c>
      <c r="C40" s="31">
        <f t="shared" ref="C40:F40" si="40">C38/C36</f>
        <v>0.6538461538</v>
      </c>
      <c r="D40" s="31">
        <f t="shared" si="40"/>
        <v>0.6379310345</v>
      </c>
      <c r="E40" s="31">
        <f t="shared" si="40"/>
        <v>0.625</v>
      </c>
      <c r="F40" s="31">
        <f t="shared" si="40"/>
        <v>0.6142857143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</sheetData>
  <mergeCells count="4">
    <mergeCell ref="B1:I1"/>
    <mergeCell ref="K1:R1"/>
    <mergeCell ref="A2:A32"/>
    <mergeCell ref="A34:A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9.75"/>
    <col customWidth="1" min="3" max="3" width="8.25"/>
    <col customWidth="1" min="4" max="4" width="11.75"/>
    <col customWidth="1" min="5" max="6" width="9.75"/>
    <col customWidth="1" min="7" max="7" width="14.0"/>
    <col customWidth="1" min="8" max="8" width="41.25"/>
    <col customWidth="1" min="9" max="9" width="9.75"/>
    <col customWidth="1" min="10" max="10" width="12.38"/>
    <col customWidth="1" min="11" max="11" width="11.75"/>
    <col customWidth="1" min="12" max="13" width="9.75"/>
    <col customWidth="1" min="14" max="14" width="13.75"/>
    <col customWidth="1" min="15" max="15" width="21.13"/>
    <col customWidth="1" min="16" max="16" width="5.88"/>
    <col customWidth="1" min="17" max="17" width="45.75"/>
    <col customWidth="1" min="18" max="18" width="9.75"/>
    <col customWidth="1" min="19" max="19" width="12.38"/>
    <col customWidth="1" min="20" max="20" width="11.75"/>
    <col customWidth="1" min="21" max="22" width="9.75"/>
    <col customWidth="1" min="23" max="23" width="13.75"/>
    <col customWidth="1" min="24" max="24" width="21.13"/>
    <col hidden="1" min="25" max="31" width="12.63"/>
    <col customWidth="1" min="32" max="32" width="8.63"/>
    <col customWidth="1" min="33" max="33" width="34.25"/>
    <col customWidth="1" min="34" max="36" width="7.63"/>
    <col customWidth="1" min="37" max="37" width="7.13"/>
  </cols>
  <sheetData>
    <row r="1" ht="45.0" customHeight="1">
      <c r="A1" s="32" t="s">
        <v>29</v>
      </c>
      <c r="G1" s="1"/>
      <c r="H1" s="2" t="s">
        <v>30</v>
      </c>
      <c r="I1" s="3"/>
      <c r="J1" s="3"/>
      <c r="K1" s="3"/>
      <c r="L1" s="3"/>
      <c r="M1" s="3"/>
      <c r="N1" s="3"/>
      <c r="O1" s="4"/>
      <c r="P1" s="5"/>
      <c r="Q1" s="2" t="s">
        <v>31</v>
      </c>
      <c r="R1" s="3"/>
      <c r="S1" s="3"/>
      <c r="T1" s="3"/>
      <c r="U1" s="3"/>
      <c r="V1" s="3"/>
      <c r="W1" s="3"/>
      <c r="X1" s="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33"/>
      <c r="B2" s="9" t="s">
        <v>3</v>
      </c>
      <c r="C2" s="10" t="s">
        <v>32</v>
      </c>
      <c r="D2" s="10" t="s">
        <v>5</v>
      </c>
      <c r="E2" s="10" t="s">
        <v>24</v>
      </c>
      <c r="F2" s="10" t="s">
        <v>6</v>
      </c>
      <c r="G2" s="34"/>
      <c r="H2" s="8"/>
      <c r="I2" s="9" t="s">
        <v>3</v>
      </c>
      <c r="J2" s="10" t="s">
        <v>4</v>
      </c>
      <c r="K2" s="10" t="s">
        <v>5</v>
      </c>
      <c r="L2" s="10" t="s">
        <v>6</v>
      </c>
      <c r="M2" s="11" t="s">
        <v>7</v>
      </c>
      <c r="N2" s="10" t="s">
        <v>8</v>
      </c>
      <c r="O2" s="10" t="s">
        <v>9</v>
      </c>
      <c r="P2" s="5"/>
      <c r="Q2" s="8"/>
      <c r="R2" s="9" t="s">
        <v>3</v>
      </c>
      <c r="S2" s="10" t="s">
        <v>4</v>
      </c>
      <c r="T2" s="10" t="s">
        <v>5</v>
      </c>
      <c r="U2" s="10" t="s">
        <v>6</v>
      </c>
      <c r="V2" s="11" t="s">
        <v>7</v>
      </c>
      <c r="W2" s="10" t="s">
        <v>8</v>
      </c>
      <c r="X2" s="10" t="s">
        <v>9</v>
      </c>
      <c r="Y2" s="6"/>
      <c r="Z2" s="6"/>
      <c r="AA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35" t="s">
        <v>10</v>
      </c>
      <c r="B3" s="35">
        <v>9800.0</v>
      </c>
      <c r="C3" s="35">
        <v>10200.0</v>
      </c>
      <c r="D3" s="35">
        <v>10200.0</v>
      </c>
      <c r="E3" s="35">
        <v>10200.0</v>
      </c>
      <c r="F3" s="35">
        <v>10200.0</v>
      </c>
      <c r="G3" s="34"/>
      <c r="H3" s="13" t="s">
        <v>10</v>
      </c>
      <c r="I3" s="13">
        <v>9800.0</v>
      </c>
      <c r="J3" s="13">
        <v>10200.0</v>
      </c>
      <c r="K3" s="13">
        <v>10200.0</v>
      </c>
      <c r="L3" s="13">
        <v>10200.0</v>
      </c>
      <c r="M3" s="13">
        <v>18000.0</v>
      </c>
      <c r="N3" s="13">
        <v>10200.0</v>
      </c>
      <c r="O3" s="13">
        <v>10200.0</v>
      </c>
      <c r="P3" s="6"/>
      <c r="Q3" s="13" t="s">
        <v>10</v>
      </c>
      <c r="R3" s="14">
        <v>11000.0</v>
      </c>
      <c r="S3" s="14">
        <v>13000.0</v>
      </c>
      <c r="T3" s="14">
        <v>12000.0</v>
      </c>
      <c r="U3" s="14">
        <v>11500.0</v>
      </c>
      <c r="V3" s="14">
        <v>21000.0</v>
      </c>
      <c r="W3" s="14">
        <v>10000.0</v>
      </c>
      <c r="X3" s="14">
        <v>12000.0</v>
      </c>
      <c r="Y3" s="6"/>
      <c r="Z3" s="6"/>
      <c r="AA3" s="6"/>
      <c r="AB3" s="6"/>
      <c r="AC3" s="6"/>
      <c r="AD3" s="6"/>
      <c r="AE3" s="6"/>
      <c r="AF3" s="6"/>
      <c r="AG3" s="24"/>
      <c r="AH3" s="25" t="s">
        <v>21</v>
      </c>
      <c r="AI3" s="25" t="s">
        <v>22</v>
      </c>
      <c r="AJ3" s="25" t="s">
        <v>23</v>
      </c>
      <c r="AK3" s="25" t="s">
        <v>24</v>
      </c>
    </row>
    <row r="4">
      <c r="A4" s="15" t="s">
        <v>33</v>
      </c>
      <c r="B4" s="36">
        <v>2514.874157020801</v>
      </c>
      <c r="C4" s="36">
        <v>2632.6603996506906</v>
      </c>
      <c r="D4" s="36">
        <v>2744.6821782795832</v>
      </c>
      <c r="E4" s="36">
        <v>3065.721402567541</v>
      </c>
      <c r="F4" s="36">
        <v>2503.672478763492</v>
      </c>
      <c r="G4" s="34"/>
      <c r="H4" s="15" t="s">
        <v>11</v>
      </c>
      <c r="I4" s="16">
        <v>2125.850340136055</v>
      </c>
      <c r="J4" s="16">
        <v>3401.360544217687</v>
      </c>
      <c r="K4" s="16">
        <v>2672.497570456754</v>
      </c>
      <c r="L4" s="16">
        <v>2356.6569484936836</v>
      </c>
      <c r="M4" s="16">
        <v>7896.015549076775</v>
      </c>
      <c r="N4" s="16">
        <v>1882.8960155490768</v>
      </c>
      <c r="O4" s="16">
        <v>2672.497570456754</v>
      </c>
      <c r="P4" s="6"/>
      <c r="Q4" s="15" t="s">
        <v>11</v>
      </c>
      <c r="R4" s="16">
        <v>2125.850340136055</v>
      </c>
      <c r="S4" s="16">
        <v>3401.360544217687</v>
      </c>
      <c r="T4" s="16">
        <v>2672.497570456754</v>
      </c>
      <c r="U4" s="16">
        <v>2356.6569484936836</v>
      </c>
      <c r="V4" s="16">
        <v>7896.015549076775</v>
      </c>
      <c r="W4" s="16">
        <v>1882.8960155490768</v>
      </c>
      <c r="X4" s="16">
        <v>2672.497570456754</v>
      </c>
      <c r="Y4" s="6"/>
      <c r="Z4" s="6"/>
      <c r="AA4" s="6"/>
      <c r="AB4" s="6"/>
      <c r="AC4" s="6"/>
      <c r="AD4" s="6"/>
      <c r="AE4" s="6"/>
      <c r="AF4" s="6"/>
      <c r="AG4" s="8"/>
      <c r="AH4" s="25" t="s">
        <v>26</v>
      </c>
      <c r="AI4" s="25" t="s">
        <v>27</v>
      </c>
      <c r="AJ4" s="25" t="s">
        <v>28</v>
      </c>
      <c r="AK4" s="25" t="s">
        <v>24</v>
      </c>
    </row>
    <row r="5">
      <c r="A5" s="15" t="s">
        <v>12</v>
      </c>
      <c r="B5" s="36">
        <v>6095.277034718642</v>
      </c>
      <c r="C5" s="36">
        <v>6213.063277348533</v>
      </c>
      <c r="D5" s="36">
        <v>6325.085055977425</v>
      </c>
      <c r="E5" s="36">
        <v>6646.124280265383</v>
      </c>
      <c r="F5" s="36">
        <v>6084.075356461334</v>
      </c>
      <c r="G5" s="34"/>
      <c r="H5" s="15" t="s">
        <v>12</v>
      </c>
      <c r="I5" s="16">
        <v>5486.745076978161</v>
      </c>
      <c r="J5" s="16">
        <v>6762.255281059793</v>
      </c>
      <c r="K5" s="16">
        <v>6033.39230729886</v>
      </c>
      <c r="L5" s="16">
        <v>5717.551685335789</v>
      </c>
      <c r="M5" s="16">
        <v>11256.910285918879</v>
      </c>
      <c r="N5" s="16">
        <v>5243.790752391182</v>
      </c>
      <c r="O5" s="16">
        <v>6033.39230729886</v>
      </c>
      <c r="P5" s="6"/>
      <c r="Q5" s="15" t="s">
        <v>12</v>
      </c>
      <c r="R5" s="16">
        <v>5486.745076978161</v>
      </c>
      <c r="S5" s="16">
        <v>6762.255281059793</v>
      </c>
      <c r="T5" s="16">
        <v>6033.39230729886</v>
      </c>
      <c r="U5" s="16">
        <v>5717.551685335789</v>
      </c>
      <c r="V5" s="16">
        <v>11256.910285918879</v>
      </c>
      <c r="W5" s="16">
        <v>5243.790752391182</v>
      </c>
      <c r="X5" s="16">
        <v>6033.39230729886</v>
      </c>
      <c r="Y5" s="6"/>
      <c r="Z5" s="6"/>
      <c r="AA5" s="6"/>
      <c r="AB5" s="6"/>
      <c r="AC5" s="6"/>
      <c r="AD5" s="6"/>
      <c r="AE5" s="6"/>
      <c r="AF5" s="6"/>
      <c r="AG5" s="28" t="s">
        <v>19</v>
      </c>
      <c r="AH5" s="29">
        <v>26000.0</v>
      </c>
      <c r="AI5" s="29">
        <v>29000.0</v>
      </c>
      <c r="AJ5" s="29">
        <v>32000.0</v>
      </c>
      <c r="AK5" s="29">
        <v>35000.0</v>
      </c>
    </row>
    <row r="6">
      <c r="A6" s="15" t="s">
        <v>13</v>
      </c>
      <c r="B6" s="36">
        <f t="shared" ref="B6:F6" si="1">B3-B5</f>
        <v>3704.722965</v>
      </c>
      <c r="C6" s="36">
        <f t="shared" si="1"/>
        <v>3986.936723</v>
      </c>
      <c r="D6" s="36">
        <f t="shared" si="1"/>
        <v>3874.914944</v>
      </c>
      <c r="E6" s="36">
        <f t="shared" si="1"/>
        <v>3553.87572</v>
      </c>
      <c r="F6" s="36">
        <f t="shared" si="1"/>
        <v>4115.924644</v>
      </c>
      <c r="G6" s="34"/>
      <c r="H6" s="15" t="s">
        <v>13</v>
      </c>
      <c r="I6" s="16">
        <f t="shared" ref="I6:O6" si="2">I3-I5</f>
        <v>4313.254923</v>
      </c>
      <c r="J6" s="16">
        <f t="shared" si="2"/>
        <v>3437.744719</v>
      </c>
      <c r="K6" s="16">
        <f t="shared" si="2"/>
        <v>4166.607693</v>
      </c>
      <c r="L6" s="16">
        <f t="shared" si="2"/>
        <v>4482.448315</v>
      </c>
      <c r="M6" s="16">
        <f t="shared" si="2"/>
        <v>6743.089714</v>
      </c>
      <c r="N6" s="16">
        <f t="shared" si="2"/>
        <v>4956.209248</v>
      </c>
      <c r="O6" s="16">
        <f t="shared" si="2"/>
        <v>4166.607693</v>
      </c>
      <c r="P6" s="6"/>
      <c r="Q6" s="15" t="s">
        <v>13</v>
      </c>
      <c r="R6" s="16">
        <f t="shared" ref="R6:X6" si="3">R3-R5</f>
        <v>5513.254923</v>
      </c>
      <c r="S6" s="16">
        <f t="shared" si="3"/>
        <v>6237.744719</v>
      </c>
      <c r="T6" s="16">
        <f t="shared" si="3"/>
        <v>5966.607693</v>
      </c>
      <c r="U6" s="16">
        <f t="shared" si="3"/>
        <v>5782.448315</v>
      </c>
      <c r="V6" s="16">
        <f t="shared" si="3"/>
        <v>9743.089714</v>
      </c>
      <c r="W6" s="16">
        <f t="shared" si="3"/>
        <v>4756.209248</v>
      </c>
      <c r="X6" s="16">
        <f t="shared" si="3"/>
        <v>5966.607693</v>
      </c>
      <c r="Y6" s="6"/>
      <c r="Z6" s="6"/>
      <c r="AA6" s="6"/>
      <c r="AB6" s="6"/>
      <c r="AC6" s="6"/>
      <c r="AD6" s="6"/>
      <c r="AE6" s="6"/>
      <c r="AF6" s="6"/>
      <c r="AG6" s="15" t="s">
        <v>11</v>
      </c>
      <c r="AH6" s="30">
        <f t="shared" ref="AH6:AK6" si="4">AH5*0.5</f>
        <v>13000</v>
      </c>
      <c r="AI6" s="30">
        <f t="shared" si="4"/>
        <v>14500</v>
      </c>
      <c r="AJ6" s="30">
        <f t="shared" si="4"/>
        <v>16000</v>
      </c>
      <c r="AK6" s="30">
        <f t="shared" si="4"/>
        <v>17500</v>
      </c>
    </row>
    <row r="7">
      <c r="A7" s="17" t="s">
        <v>14</v>
      </c>
      <c r="B7" s="37">
        <f t="shared" ref="B7:F7" si="5">B5/B3</f>
        <v>0.6219670444</v>
      </c>
      <c r="C7" s="37">
        <f t="shared" si="5"/>
        <v>0.6091238507</v>
      </c>
      <c r="D7" s="37">
        <f t="shared" si="5"/>
        <v>0.620106378</v>
      </c>
      <c r="E7" s="37">
        <f t="shared" si="5"/>
        <v>0.6515808118</v>
      </c>
      <c r="F7" s="37">
        <f t="shared" si="5"/>
        <v>0.5964779761</v>
      </c>
      <c r="G7" s="34"/>
      <c r="H7" s="17" t="s">
        <v>14</v>
      </c>
      <c r="I7" s="18">
        <f t="shared" ref="I7:O7" si="6">I5/I3</f>
        <v>0.5598719466</v>
      </c>
      <c r="J7" s="18">
        <f t="shared" si="6"/>
        <v>0.662966204</v>
      </c>
      <c r="K7" s="18">
        <f t="shared" si="6"/>
        <v>0.5915090497</v>
      </c>
      <c r="L7" s="18">
        <f t="shared" si="6"/>
        <v>0.5605442829</v>
      </c>
      <c r="M7" s="18">
        <f t="shared" si="6"/>
        <v>0.6253839048</v>
      </c>
      <c r="N7" s="18">
        <f t="shared" si="6"/>
        <v>0.5140971326</v>
      </c>
      <c r="O7" s="18">
        <f t="shared" si="6"/>
        <v>0.5915090497</v>
      </c>
      <c r="P7" s="6"/>
      <c r="Q7" s="17" t="s">
        <v>14</v>
      </c>
      <c r="R7" s="18">
        <f t="shared" ref="R7:X7" si="7">R5/R3</f>
        <v>0.498795007</v>
      </c>
      <c r="S7" s="18">
        <f t="shared" si="7"/>
        <v>0.5201734832</v>
      </c>
      <c r="T7" s="18">
        <f t="shared" si="7"/>
        <v>0.5027826923</v>
      </c>
      <c r="U7" s="18">
        <f t="shared" si="7"/>
        <v>0.4971784074</v>
      </c>
      <c r="V7" s="18">
        <f t="shared" si="7"/>
        <v>0.5360433469</v>
      </c>
      <c r="W7" s="18">
        <f t="shared" si="7"/>
        <v>0.5243790752</v>
      </c>
      <c r="X7" s="18">
        <f t="shared" si="7"/>
        <v>0.5027826923</v>
      </c>
      <c r="Y7" s="6"/>
      <c r="Z7" s="6"/>
      <c r="AA7" s="6"/>
      <c r="AB7" s="6"/>
      <c r="AC7" s="6"/>
      <c r="AD7" s="6"/>
      <c r="AE7" s="6"/>
      <c r="AF7" s="6"/>
      <c r="AG7" s="15" t="s">
        <v>12</v>
      </c>
      <c r="AH7" s="30">
        <f t="shared" ref="AH7:AK7" si="8">AH6+4000</f>
        <v>17000</v>
      </c>
      <c r="AI7" s="30">
        <f t="shared" si="8"/>
        <v>18500</v>
      </c>
      <c r="AJ7" s="30">
        <f t="shared" si="8"/>
        <v>20000</v>
      </c>
      <c r="AK7" s="30">
        <f t="shared" si="8"/>
        <v>21500</v>
      </c>
    </row>
    <row r="8">
      <c r="A8" s="35" t="s">
        <v>15</v>
      </c>
      <c r="B8" s="35">
        <v>18300.0</v>
      </c>
      <c r="C8" s="35">
        <v>19300.0</v>
      </c>
      <c r="D8" s="35">
        <v>19300.0</v>
      </c>
      <c r="E8" s="35">
        <v>19300.0</v>
      </c>
      <c r="F8" s="35">
        <v>19300.0</v>
      </c>
      <c r="G8" s="34"/>
      <c r="H8" s="13" t="s">
        <v>15</v>
      </c>
      <c r="I8" s="13">
        <v>18300.0</v>
      </c>
      <c r="J8" s="13">
        <v>19300.0</v>
      </c>
      <c r="K8" s="13">
        <v>19300.0</v>
      </c>
      <c r="L8" s="13">
        <v>19300.0</v>
      </c>
      <c r="M8" s="13">
        <v>30000.0</v>
      </c>
      <c r="N8" s="13">
        <v>19300.0</v>
      </c>
      <c r="O8" s="13">
        <v>19300.0</v>
      </c>
      <c r="P8" s="6"/>
      <c r="Q8" s="13" t="s">
        <v>15</v>
      </c>
      <c r="R8" s="14">
        <v>21000.0</v>
      </c>
      <c r="S8" s="14">
        <v>25000.0</v>
      </c>
      <c r="T8" s="14">
        <v>23000.0</v>
      </c>
      <c r="U8" s="14">
        <v>22000.0</v>
      </c>
      <c r="V8" s="14">
        <v>39000.0</v>
      </c>
      <c r="W8" s="14">
        <v>20000.0</v>
      </c>
      <c r="X8" s="14">
        <v>22000.0</v>
      </c>
      <c r="Y8" s="6">
        <f t="shared" ref="Y8:AE8" si="9">Y23*2</f>
        <v>16400</v>
      </c>
      <c r="Z8" s="6">
        <f t="shared" si="9"/>
        <v>19200</v>
      </c>
      <c r="AA8" s="6">
        <f t="shared" si="9"/>
        <v>18000</v>
      </c>
      <c r="AB8" s="6">
        <f t="shared" si="9"/>
        <v>17200</v>
      </c>
      <c r="AC8" s="6">
        <f t="shared" si="9"/>
        <v>0</v>
      </c>
      <c r="AD8" s="6">
        <f t="shared" si="9"/>
        <v>15600</v>
      </c>
      <c r="AE8" s="6">
        <f t="shared" si="9"/>
        <v>17200</v>
      </c>
      <c r="AF8" s="6"/>
      <c r="AG8" s="15" t="s">
        <v>13</v>
      </c>
      <c r="AH8" s="30">
        <f t="shared" ref="AH8:AK8" si="10">AH5-AH7</f>
        <v>9000</v>
      </c>
      <c r="AI8" s="30">
        <f t="shared" si="10"/>
        <v>10500</v>
      </c>
      <c r="AJ8" s="30">
        <f t="shared" si="10"/>
        <v>12000</v>
      </c>
      <c r="AK8" s="30">
        <f t="shared" si="10"/>
        <v>13500</v>
      </c>
    </row>
    <row r="9">
      <c r="A9" s="15" t="s">
        <v>33</v>
      </c>
      <c r="B9" s="36">
        <v>5029.748314041602</v>
      </c>
      <c r="C9" s="36">
        <v>5265.320799301381</v>
      </c>
      <c r="D9" s="36">
        <v>5489.3643565591665</v>
      </c>
      <c r="E9" s="36">
        <v>6131.442805135082</v>
      </c>
      <c r="F9" s="36">
        <v>5007.344957526984</v>
      </c>
      <c r="G9" s="34"/>
      <c r="H9" s="15" t="s">
        <v>11</v>
      </c>
      <c r="I9" s="16">
        <v>4251.70068027211</v>
      </c>
      <c r="J9" s="16">
        <v>6802.721088435374</v>
      </c>
      <c r="K9" s="16">
        <v>5344.995140913508</v>
      </c>
      <c r="L9" s="16">
        <v>4713.313896987367</v>
      </c>
      <c r="M9" s="16">
        <v>15792.03109815355</v>
      </c>
      <c r="N9" s="16">
        <v>3765.7920310981535</v>
      </c>
      <c r="O9" s="16">
        <v>5344.995140913508</v>
      </c>
      <c r="P9" s="6"/>
      <c r="Q9" s="15" t="s">
        <v>11</v>
      </c>
      <c r="R9" s="16">
        <v>4251.70068027211</v>
      </c>
      <c r="S9" s="16">
        <v>6802.721088435374</v>
      </c>
      <c r="T9" s="16">
        <v>5344.995140913508</v>
      </c>
      <c r="U9" s="16">
        <v>4713.313896987367</v>
      </c>
      <c r="V9" s="16">
        <v>15792.03109815355</v>
      </c>
      <c r="W9" s="16">
        <v>3765.7920310981535</v>
      </c>
      <c r="X9" s="16">
        <v>5344.995140913508</v>
      </c>
      <c r="Y9" s="6">
        <f t="shared" ref="Y9:AE9" si="11">Y8*1.2</f>
        <v>19680</v>
      </c>
      <c r="Z9" s="6">
        <f t="shared" si="11"/>
        <v>23040</v>
      </c>
      <c r="AA9" s="6">
        <f t="shared" si="11"/>
        <v>21600</v>
      </c>
      <c r="AB9" s="6">
        <f t="shared" si="11"/>
        <v>20640</v>
      </c>
      <c r="AC9" s="6">
        <f t="shared" si="11"/>
        <v>0</v>
      </c>
      <c r="AD9" s="6">
        <f t="shared" si="11"/>
        <v>18720</v>
      </c>
      <c r="AE9" s="6">
        <f t="shared" si="11"/>
        <v>20640</v>
      </c>
      <c r="AF9" s="6"/>
      <c r="AG9" s="17" t="s">
        <v>14</v>
      </c>
      <c r="AH9" s="31">
        <f t="shared" ref="AH9:AK9" si="12">AH7/AH5</f>
        <v>0.6538461538</v>
      </c>
      <c r="AI9" s="31">
        <f t="shared" si="12"/>
        <v>0.6379310345</v>
      </c>
      <c r="AJ9" s="31">
        <f t="shared" si="12"/>
        <v>0.625</v>
      </c>
      <c r="AK9" s="31">
        <f t="shared" si="12"/>
        <v>0.6142857143</v>
      </c>
    </row>
    <row r="10">
      <c r="A10" s="15" t="s">
        <v>12</v>
      </c>
      <c r="B10" s="36">
        <v>9066.554069437285</v>
      </c>
      <c r="C10" s="36">
        <v>9302.126554697064</v>
      </c>
      <c r="D10" s="36">
        <v>9526.170111954849</v>
      </c>
      <c r="E10" s="36">
        <v>10168.248560530767</v>
      </c>
      <c r="F10" s="36">
        <v>9044.150712922667</v>
      </c>
      <c r="G10" s="34"/>
      <c r="H10" s="15" t="s">
        <v>12</v>
      </c>
      <c r="I10" s="16">
        <v>7945.490153956321</v>
      </c>
      <c r="J10" s="16">
        <v>10496.510562119585</v>
      </c>
      <c r="K10" s="16">
        <v>9038.78461459772</v>
      </c>
      <c r="L10" s="16">
        <v>8407.103370671579</v>
      </c>
      <c r="M10" s="16">
        <v>19485.820571837758</v>
      </c>
      <c r="N10" s="16">
        <v>7459.581504782364</v>
      </c>
      <c r="O10" s="16">
        <v>9038.78461459772</v>
      </c>
      <c r="P10" s="6"/>
      <c r="Q10" s="15" t="s">
        <v>12</v>
      </c>
      <c r="R10" s="16">
        <v>7945.490153956321</v>
      </c>
      <c r="S10" s="16">
        <v>10496.510562119585</v>
      </c>
      <c r="T10" s="16">
        <v>9038.78461459772</v>
      </c>
      <c r="U10" s="16">
        <v>8407.103370671579</v>
      </c>
      <c r="V10" s="16">
        <v>19485.820571837758</v>
      </c>
      <c r="W10" s="16">
        <v>7459.581504782364</v>
      </c>
      <c r="X10" s="16">
        <v>9038.78461459772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15" t="s">
        <v>13</v>
      </c>
      <c r="B11" s="36">
        <f t="shared" ref="B11:F11" si="13">B8-B10</f>
        <v>9233.445931</v>
      </c>
      <c r="C11" s="36">
        <f t="shared" si="13"/>
        <v>9997.873445</v>
      </c>
      <c r="D11" s="36">
        <f t="shared" si="13"/>
        <v>9773.829888</v>
      </c>
      <c r="E11" s="36">
        <f t="shared" si="13"/>
        <v>9131.751439</v>
      </c>
      <c r="F11" s="36">
        <f t="shared" si="13"/>
        <v>10255.84929</v>
      </c>
      <c r="G11" s="34"/>
      <c r="H11" s="15" t="s">
        <v>13</v>
      </c>
      <c r="I11" s="16">
        <f t="shared" ref="I11:O11" si="14">I8-I10</f>
        <v>10354.50985</v>
      </c>
      <c r="J11" s="16">
        <f t="shared" si="14"/>
        <v>8803.489438</v>
      </c>
      <c r="K11" s="16">
        <f t="shared" si="14"/>
        <v>10261.21539</v>
      </c>
      <c r="L11" s="16">
        <f t="shared" si="14"/>
        <v>10892.89663</v>
      </c>
      <c r="M11" s="16">
        <f t="shared" si="14"/>
        <v>10514.17943</v>
      </c>
      <c r="N11" s="16">
        <f t="shared" si="14"/>
        <v>11840.4185</v>
      </c>
      <c r="O11" s="16">
        <f t="shared" si="14"/>
        <v>10261.21539</v>
      </c>
      <c r="P11" s="6"/>
      <c r="Q11" s="15" t="s">
        <v>13</v>
      </c>
      <c r="R11" s="16">
        <f t="shared" ref="R11:X11" si="15">R8-R10</f>
        <v>13054.50985</v>
      </c>
      <c r="S11" s="16">
        <f t="shared" si="15"/>
        <v>14503.48944</v>
      </c>
      <c r="T11" s="16">
        <f t="shared" si="15"/>
        <v>13961.21539</v>
      </c>
      <c r="U11" s="16">
        <f t="shared" si="15"/>
        <v>13592.89663</v>
      </c>
      <c r="V11" s="16">
        <f t="shared" si="15"/>
        <v>19514.17943</v>
      </c>
      <c r="W11" s="16">
        <f t="shared" si="15"/>
        <v>12540.4185</v>
      </c>
      <c r="X11" s="16">
        <f t="shared" si="15"/>
        <v>12961.21539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17" t="s">
        <v>14</v>
      </c>
      <c r="B12" s="37">
        <f t="shared" ref="B12:F12" si="16">B10/B8</f>
        <v>0.4954401131</v>
      </c>
      <c r="C12" s="37">
        <f t="shared" si="16"/>
        <v>0.4819754692</v>
      </c>
      <c r="D12" s="37">
        <f t="shared" si="16"/>
        <v>0.4935839436</v>
      </c>
      <c r="E12" s="37">
        <f t="shared" si="16"/>
        <v>0.526852257</v>
      </c>
      <c r="F12" s="37">
        <f t="shared" si="16"/>
        <v>0.4686088452</v>
      </c>
      <c r="G12" s="34"/>
      <c r="H12" s="17" t="s">
        <v>14</v>
      </c>
      <c r="I12" s="18">
        <f t="shared" ref="I12:O12" si="17">I10/I8</f>
        <v>0.4341797898</v>
      </c>
      <c r="J12" s="18">
        <f t="shared" si="17"/>
        <v>0.5438606509</v>
      </c>
      <c r="K12" s="18">
        <f t="shared" si="17"/>
        <v>0.468330809</v>
      </c>
      <c r="L12" s="18">
        <f t="shared" si="17"/>
        <v>0.4356012109</v>
      </c>
      <c r="M12" s="18">
        <f t="shared" si="17"/>
        <v>0.6495273524</v>
      </c>
      <c r="N12" s="18">
        <f t="shared" si="17"/>
        <v>0.3865068137</v>
      </c>
      <c r="O12" s="18">
        <f t="shared" si="17"/>
        <v>0.468330809</v>
      </c>
      <c r="P12" s="6"/>
      <c r="Q12" s="17" t="s">
        <v>14</v>
      </c>
      <c r="R12" s="18">
        <f t="shared" ref="R12:X12" si="18">R10/R8</f>
        <v>0.378356674</v>
      </c>
      <c r="S12" s="18">
        <f t="shared" si="18"/>
        <v>0.4198604225</v>
      </c>
      <c r="T12" s="18">
        <f t="shared" si="18"/>
        <v>0.3929906354</v>
      </c>
      <c r="U12" s="18">
        <f t="shared" si="18"/>
        <v>0.3821410623</v>
      </c>
      <c r="V12" s="18">
        <f t="shared" si="18"/>
        <v>0.4996364249</v>
      </c>
      <c r="W12" s="18">
        <f t="shared" si="18"/>
        <v>0.3729790752</v>
      </c>
      <c r="X12" s="18">
        <f t="shared" si="18"/>
        <v>0.4108538461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35" t="s">
        <v>34</v>
      </c>
      <c r="B13" s="35">
        <v>31900.0</v>
      </c>
      <c r="C13" s="35">
        <v>33900.0</v>
      </c>
      <c r="D13" s="35">
        <v>33900.0</v>
      </c>
      <c r="E13" s="35">
        <v>33900.0</v>
      </c>
      <c r="F13" s="35">
        <v>33900.0</v>
      </c>
      <c r="G13" s="34"/>
      <c r="H13" s="19" t="s">
        <v>16</v>
      </c>
      <c r="I13" s="19">
        <v>31900.0</v>
      </c>
      <c r="J13" s="19">
        <v>33900.0</v>
      </c>
      <c r="K13" s="19">
        <v>33900.0</v>
      </c>
      <c r="L13" s="19">
        <v>33900.0</v>
      </c>
      <c r="M13" s="19">
        <v>35000.0</v>
      </c>
      <c r="N13" s="19">
        <v>33900.0</v>
      </c>
      <c r="O13" s="19">
        <v>33900.0</v>
      </c>
      <c r="P13" s="6"/>
      <c r="Q13" s="14" t="s">
        <v>16</v>
      </c>
      <c r="R13" s="14">
        <v>30000.0</v>
      </c>
      <c r="S13" s="14">
        <v>33000.0</v>
      </c>
      <c r="T13" s="14">
        <v>32000.0</v>
      </c>
      <c r="U13" s="14">
        <v>31000.0</v>
      </c>
      <c r="V13" s="14">
        <v>50000.0</v>
      </c>
      <c r="W13" s="13">
        <v>28000.0</v>
      </c>
      <c r="X13" s="14">
        <v>31000.0</v>
      </c>
      <c r="Y13" s="6">
        <f t="shared" ref="Y13:AE13" si="19">Y23*3</f>
        <v>24600</v>
      </c>
      <c r="Z13" s="6">
        <f t="shared" si="19"/>
        <v>28800</v>
      </c>
      <c r="AA13" s="6">
        <f t="shared" si="19"/>
        <v>27000</v>
      </c>
      <c r="AB13" s="6">
        <f t="shared" si="19"/>
        <v>25800</v>
      </c>
      <c r="AC13" s="6">
        <f t="shared" si="19"/>
        <v>0</v>
      </c>
      <c r="AD13" s="6">
        <f t="shared" si="19"/>
        <v>23400</v>
      </c>
      <c r="AE13" s="6">
        <f t="shared" si="19"/>
        <v>25800</v>
      </c>
      <c r="AF13" s="6"/>
      <c r="AG13" s="6"/>
      <c r="AH13" s="6"/>
      <c r="AI13" s="6"/>
      <c r="AJ13" s="6"/>
      <c r="AK13" s="6"/>
    </row>
    <row r="14">
      <c r="A14" s="15" t="s">
        <v>33</v>
      </c>
      <c r="B14" s="36">
        <v>7544.622471062402</v>
      </c>
      <c r="C14" s="36">
        <v>7897.981198952071</v>
      </c>
      <c r="D14" s="36">
        <v>8234.04653483875</v>
      </c>
      <c r="E14" s="36">
        <v>9197.164207702624</v>
      </c>
      <c r="F14" s="36">
        <v>7511.017436290476</v>
      </c>
      <c r="G14" s="34"/>
      <c r="H14" s="15" t="s">
        <v>11</v>
      </c>
      <c r="I14" s="16">
        <v>6377.551020408164</v>
      </c>
      <c r="J14" s="16">
        <v>10204.08163265306</v>
      </c>
      <c r="K14" s="16">
        <v>8017.492711370262</v>
      </c>
      <c r="L14" s="16">
        <v>7069.97084548105</v>
      </c>
      <c r="M14" s="16">
        <v>23688.046647230323</v>
      </c>
      <c r="N14" s="16">
        <v>5648.68804664723</v>
      </c>
      <c r="O14" s="16">
        <v>8017.492711370262</v>
      </c>
      <c r="P14" s="6"/>
      <c r="Q14" s="15" t="s">
        <v>11</v>
      </c>
      <c r="R14" s="16">
        <v>6377.551020408164</v>
      </c>
      <c r="S14" s="16">
        <v>10204.08163265306</v>
      </c>
      <c r="T14" s="16">
        <v>8017.492711370262</v>
      </c>
      <c r="U14" s="16">
        <v>7069.97084548105</v>
      </c>
      <c r="V14" s="16">
        <v>23688.046647230323</v>
      </c>
      <c r="W14" s="16">
        <v>5648.68804664723</v>
      </c>
      <c r="X14" s="16">
        <v>8017.492711370262</v>
      </c>
      <c r="Y14" s="6">
        <f t="shared" ref="Y14:AE14" si="20">R3*3</f>
        <v>33000</v>
      </c>
      <c r="Z14" s="6">
        <f t="shared" si="20"/>
        <v>39000</v>
      </c>
      <c r="AA14" s="6">
        <f t="shared" si="20"/>
        <v>36000</v>
      </c>
      <c r="AB14" s="6">
        <f t="shared" si="20"/>
        <v>34500</v>
      </c>
      <c r="AC14" s="6">
        <f t="shared" si="20"/>
        <v>63000</v>
      </c>
      <c r="AD14" s="6">
        <f t="shared" si="20"/>
        <v>30000</v>
      </c>
      <c r="AE14" s="6">
        <f t="shared" si="20"/>
        <v>36000</v>
      </c>
      <c r="AF14" s="6"/>
      <c r="AG14" s="6"/>
      <c r="AH14" s="6"/>
      <c r="AI14" s="6"/>
      <c r="AJ14" s="6"/>
      <c r="AK14" s="6"/>
    </row>
    <row r="15">
      <c r="A15" s="15" t="s">
        <v>12</v>
      </c>
      <c r="B15" s="36">
        <v>12259.831104155926</v>
      </c>
      <c r="C15" s="36">
        <v>12613.189832045597</v>
      </c>
      <c r="D15" s="36">
        <v>12949.255167932275</v>
      </c>
      <c r="E15" s="36">
        <v>13912.37284079615</v>
      </c>
      <c r="F15" s="36">
        <v>12226.226069384002</v>
      </c>
      <c r="G15" s="34"/>
      <c r="H15" s="15" t="s">
        <v>12</v>
      </c>
      <c r="I15" s="16">
        <v>10349.235230934479</v>
      </c>
      <c r="J15" s="16">
        <v>14175.765843179375</v>
      </c>
      <c r="K15" s="16">
        <v>11989.176921896578</v>
      </c>
      <c r="L15" s="16">
        <v>11041.655056007367</v>
      </c>
      <c r="M15" s="16">
        <v>27659.73085775664</v>
      </c>
      <c r="N15" s="16">
        <v>9620.372257173545</v>
      </c>
      <c r="O15" s="16">
        <v>11989.176921896578</v>
      </c>
      <c r="P15" s="6"/>
      <c r="Q15" s="15" t="s">
        <v>12</v>
      </c>
      <c r="R15" s="16">
        <v>10349.235230934479</v>
      </c>
      <c r="S15" s="16">
        <v>14175.765843179375</v>
      </c>
      <c r="T15" s="16">
        <v>11989.176921896578</v>
      </c>
      <c r="U15" s="16">
        <v>11041.655056007367</v>
      </c>
      <c r="V15" s="16">
        <v>27659.73085775664</v>
      </c>
      <c r="W15" s="16">
        <v>9620.372257173545</v>
      </c>
      <c r="X15" s="16">
        <v>11989.176921896578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15" t="s">
        <v>13</v>
      </c>
      <c r="B16" s="36">
        <f t="shared" ref="B16:F16" si="21">B13-B15</f>
        <v>19640.1689</v>
      </c>
      <c r="C16" s="36">
        <f t="shared" si="21"/>
        <v>21286.81017</v>
      </c>
      <c r="D16" s="36">
        <f t="shared" si="21"/>
        <v>20950.74483</v>
      </c>
      <c r="E16" s="36">
        <f t="shared" si="21"/>
        <v>19987.62716</v>
      </c>
      <c r="F16" s="36">
        <f t="shared" si="21"/>
        <v>21673.77393</v>
      </c>
      <c r="G16" s="34"/>
      <c r="H16" s="15" t="s">
        <v>13</v>
      </c>
      <c r="I16" s="16">
        <f t="shared" ref="I16:O16" si="22">I13-I15</f>
        <v>21550.76477</v>
      </c>
      <c r="J16" s="16">
        <f t="shared" si="22"/>
        <v>19724.23416</v>
      </c>
      <c r="K16" s="16">
        <f t="shared" si="22"/>
        <v>21910.82308</v>
      </c>
      <c r="L16" s="16">
        <f t="shared" si="22"/>
        <v>22858.34494</v>
      </c>
      <c r="M16" s="16">
        <f t="shared" si="22"/>
        <v>7340.269142</v>
      </c>
      <c r="N16" s="16">
        <f t="shared" si="22"/>
        <v>24279.62774</v>
      </c>
      <c r="O16" s="16">
        <f t="shared" si="22"/>
        <v>21910.82308</v>
      </c>
      <c r="P16" s="6"/>
      <c r="Q16" s="15" t="s">
        <v>13</v>
      </c>
      <c r="R16" s="16">
        <f t="shared" ref="R16:X16" si="23">R13-R15</f>
        <v>19650.76477</v>
      </c>
      <c r="S16" s="16">
        <f t="shared" si="23"/>
        <v>18824.23416</v>
      </c>
      <c r="T16" s="16">
        <f t="shared" si="23"/>
        <v>20010.82308</v>
      </c>
      <c r="U16" s="16">
        <f t="shared" si="23"/>
        <v>19958.34494</v>
      </c>
      <c r="V16" s="16">
        <f t="shared" si="23"/>
        <v>22340.26914</v>
      </c>
      <c r="W16" s="16">
        <f t="shared" si="23"/>
        <v>18379.62774</v>
      </c>
      <c r="X16" s="16">
        <f t="shared" si="23"/>
        <v>19010.82308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17" t="s">
        <v>14</v>
      </c>
      <c r="B17" s="37">
        <f t="shared" ref="B17:F17" si="24">B15/B13</f>
        <v>0.3843207243</v>
      </c>
      <c r="C17" s="37">
        <f t="shared" si="24"/>
        <v>0.3720704965</v>
      </c>
      <c r="D17" s="37">
        <f t="shared" si="24"/>
        <v>0.3819839283</v>
      </c>
      <c r="E17" s="37">
        <f t="shared" si="24"/>
        <v>0.4103944791</v>
      </c>
      <c r="F17" s="37">
        <f t="shared" si="24"/>
        <v>0.3606556363</v>
      </c>
      <c r="G17" s="34"/>
      <c r="H17" s="17" t="s">
        <v>14</v>
      </c>
      <c r="I17" s="18">
        <f t="shared" ref="I17:O17" si="25">I15/I13</f>
        <v>0.3244274367</v>
      </c>
      <c r="J17" s="18">
        <f t="shared" si="25"/>
        <v>0.4181641842</v>
      </c>
      <c r="K17" s="18">
        <f t="shared" si="25"/>
        <v>0.353663036</v>
      </c>
      <c r="L17" s="18">
        <f t="shared" si="25"/>
        <v>0.3257125385</v>
      </c>
      <c r="M17" s="18">
        <f t="shared" si="25"/>
        <v>0.7902780245</v>
      </c>
      <c r="N17" s="18">
        <f t="shared" si="25"/>
        <v>0.2837867922</v>
      </c>
      <c r="O17" s="18">
        <f t="shared" si="25"/>
        <v>0.353663036</v>
      </c>
      <c r="P17" s="6"/>
      <c r="Q17" s="17" t="s">
        <v>14</v>
      </c>
      <c r="R17" s="18">
        <f t="shared" ref="R17:X17" si="26">R15/R13</f>
        <v>0.3449745077</v>
      </c>
      <c r="S17" s="18">
        <f t="shared" si="26"/>
        <v>0.4295686619</v>
      </c>
      <c r="T17" s="18">
        <f t="shared" si="26"/>
        <v>0.3746617788</v>
      </c>
      <c r="U17" s="18">
        <f t="shared" si="26"/>
        <v>0.3561824212</v>
      </c>
      <c r="V17" s="18">
        <f t="shared" si="26"/>
        <v>0.5531946172</v>
      </c>
      <c r="W17" s="18">
        <f t="shared" si="26"/>
        <v>0.3435847235</v>
      </c>
      <c r="X17" s="18">
        <f t="shared" si="26"/>
        <v>0.3867476426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35" t="s">
        <v>17</v>
      </c>
      <c r="B18" s="35">
        <v>32900.0</v>
      </c>
      <c r="C18" s="35">
        <v>34900.0</v>
      </c>
      <c r="D18" s="35">
        <v>34900.0</v>
      </c>
      <c r="E18" s="35">
        <v>34900.0</v>
      </c>
      <c r="F18" s="35">
        <v>34900.0</v>
      </c>
      <c r="G18" s="34"/>
      <c r="H18" s="13" t="s">
        <v>17</v>
      </c>
      <c r="I18" s="13">
        <v>32900.0</v>
      </c>
      <c r="J18" s="13">
        <v>34900.0</v>
      </c>
      <c r="K18" s="13">
        <v>34900.0</v>
      </c>
      <c r="L18" s="13">
        <v>34900.0</v>
      </c>
      <c r="M18" s="13">
        <v>40000.0</v>
      </c>
      <c r="N18" s="13">
        <v>34900.0</v>
      </c>
      <c r="O18" s="13">
        <v>34900.0</v>
      </c>
      <c r="P18" s="6"/>
      <c r="Q18" s="20" t="s">
        <v>17</v>
      </c>
      <c r="R18" s="20">
        <v>35000.0</v>
      </c>
      <c r="S18" s="20">
        <v>39000.0</v>
      </c>
      <c r="T18" s="20">
        <v>38000.0</v>
      </c>
      <c r="U18" s="20">
        <v>36500.0</v>
      </c>
      <c r="V18" s="20">
        <v>58000.0</v>
      </c>
      <c r="W18" s="20">
        <v>33000.0</v>
      </c>
      <c r="X18" s="20">
        <v>36500.0</v>
      </c>
      <c r="Y18" s="21">
        <f t="shared" ref="Y18:AE18" si="27">R13/300*340</f>
        <v>34000</v>
      </c>
      <c r="Z18" s="21">
        <f t="shared" si="27"/>
        <v>37400</v>
      </c>
      <c r="AA18" s="21">
        <f t="shared" si="27"/>
        <v>36266.66667</v>
      </c>
      <c r="AB18" s="21">
        <f t="shared" si="27"/>
        <v>35133.33333</v>
      </c>
      <c r="AC18" s="21">
        <f t="shared" si="27"/>
        <v>56666.66667</v>
      </c>
      <c r="AD18" s="21">
        <f t="shared" si="27"/>
        <v>31733.33333</v>
      </c>
      <c r="AE18" s="21">
        <f t="shared" si="27"/>
        <v>35133.33333</v>
      </c>
      <c r="AF18" s="6"/>
      <c r="AG18" s="6"/>
      <c r="AH18" s="6"/>
      <c r="AI18" s="6"/>
      <c r="AJ18" s="6"/>
      <c r="AK18" s="6"/>
    </row>
    <row r="19">
      <c r="A19" s="15" t="s">
        <v>33</v>
      </c>
      <c r="B19" s="36">
        <v>8550.572133870723</v>
      </c>
      <c r="C19" s="36">
        <v>8951.045358812347</v>
      </c>
      <c r="D19" s="36">
        <v>9331.919406150582</v>
      </c>
      <c r="E19" s="36">
        <v>10423.45276872964</v>
      </c>
      <c r="F19" s="36">
        <v>8512.486427795873</v>
      </c>
      <c r="G19" s="34"/>
      <c r="H19" s="15" t="s">
        <v>11</v>
      </c>
      <c r="I19" s="16">
        <v>7227.891156462599</v>
      </c>
      <c r="J19" s="16">
        <v>11564.625850340157</v>
      </c>
      <c r="K19" s="16">
        <v>9086.491739552981</v>
      </c>
      <c r="L19" s="16">
        <v>8012.633624878537</v>
      </c>
      <c r="M19" s="16">
        <v>26846.45286686108</v>
      </c>
      <c r="N19" s="16">
        <v>6401.846452866872</v>
      </c>
      <c r="O19" s="16">
        <v>9086.491739552981</v>
      </c>
      <c r="P19" s="6"/>
      <c r="Q19" s="15" t="s">
        <v>11</v>
      </c>
      <c r="R19" s="16">
        <v>7227.891156462599</v>
      </c>
      <c r="S19" s="16">
        <v>11564.625850340157</v>
      </c>
      <c r="T19" s="16">
        <v>9086.491739552981</v>
      </c>
      <c r="U19" s="16">
        <v>8012.633624878537</v>
      </c>
      <c r="V19" s="16">
        <v>26846.45286686108</v>
      </c>
      <c r="W19" s="16">
        <v>6401.846452866872</v>
      </c>
      <c r="X19" s="16">
        <v>9086.491739552981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15" t="s">
        <v>12</v>
      </c>
      <c r="B20" s="36">
        <v>13432.341918043385</v>
      </c>
      <c r="C20" s="36">
        <v>13832.81514298501</v>
      </c>
      <c r="D20" s="36">
        <v>14213.689190323244</v>
      </c>
      <c r="E20" s="36">
        <v>15305.222552902302</v>
      </c>
      <c r="F20" s="36">
        <v>13394.256211968535</v>
      </c>
      <c r="G20" s="34"/>
      <c r="H20" s="15" t="s">
        <v>12</v>
      </c>
      <c r="I20" s="16">
        <v>11277.733261725756</v>
      </c>
      <c r="J20" s="16">
        <v>15614.467955603315</v>
      </c>
      <c r="K20" s="16">
        <v>13136.33384481614</v>
      </c>
      <c r="L20" s="16">
        <v>12062.475730141696</v>
      </c>
      <c r="M20" s="16">
        <v>30896.294972124237</v>
      </c>
      <c r="N20" s="16">
        <v>10451.68855813003</v>
      </c>
      <c r="O20" s="16">
        <v>13136.33384481614</v>
      </c>
      <c r="P20" s="6"/>
      <c r="Q20" s="15" t="s">
        <v>12</v>
      </c>
      <c r="R20" s="16">
        <v>11277.733261725756</v>
      </c>
      <c r="S20" s="16">
        <v>15614.467955603315</v>
      </c>
      <c r="T20" s="16">
        <v>13136.33384481614</v>
      </c>
      <c r="U20" s="16">
        <v>12062.475730141696</v>
      </c>
      <c r="V20" s="16">
        <v>30896.294972124237</v>
      </c>
      <c r="W20" s="16">
        <v>10451.68855813003</v>
      </c>
      <c r="X20" s="16">
        <v>13136.33384481614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15" t="s">
        <v>13</v>
      </c>
      <c r="B21" s="36">
        <f t="shared" ref="B21:F21" si="28">B18-B20</f>
        <v>19467.65808</v>
      </c>
      <c r="C21" s="36">
        <f t="shared" si="28"/>
        <v>21067.18486</v>
      </c>
      <c r="D21" s="36">
        <f t="shared" si="28"/>
        <v>20686.31081</v>
      </c>
      <c r="E21" s="36">
        <f t="shared" si="28"/>
        <v>19594.77745</v>
      </c>
      <c r="F21" s="36">
        <f t="shared" si="28"/>
        <v>21505.74379</v>
      </c>
      <c r="G21" s="34"/>
      <c r="H21" s="15" t="s">
        <v>13</v>
      </c>
      <c r="I21" s="16">
        <f t="shared" ref="I21:O21" si="29">I18-I20</f>
        <v>21622.26674</v>
      </c>
      <c r="J21" s="16">
        <f t="shared" si="29"/>
        <v>19285.53204</v>
      </c>
      <c r="K21" s="16">
        <f t="shared" si="29"/>
        <v>21763.66616</v>
      </c>
      <c r="L21" s="16">
        <f t="shared" si="29"/>
        <v>22837.52427</v>
      </c>
      <c r="M21" s="16">
        <f t="shared" si="29"/>
        <v>9103.705028</v>
      </c>
      <c r="N21" s="16">
        <f t="shared" si="29"/>
        <v>24448.31144</v>
      </c>
      <c r="O21" s="16">
        <f t="shared" si="29"/>
        <v>21763.66616</v>
      </c>
      <c r="P21" s="6"/>
      <c r="Q21" s="15" t="s">
        <v>13</v>
      </c>
      <c r="R21" s="16">
        <f t="shared" ref="R21:X21" si="30">R18-R20</f>
        <v>23722.26674</v>
      </c>
      <c r="S21" s="16">
        <f t="shared" si="30"/>
        <v>23385.53204</v>
      </c>
      <c r="T21" s="16">
        <f t="shared" si="30"/>
        <v>24863.66616</v>
      </c>
      <c r="U21" s="16">
        <f t="shared" si="30"/>
        <v>24437.52427</v>
      </c>
      <c r="V21" s="16">
        <f t="shared" si="30"/>
        <v>27103.70503</v>
      </c>
      <c r="W21" s="16">
        <f t="shared" si="30"/>
        <v>22548.31144</v>
      </c>
      <c r="X21" s="16">
        <f t="shared" si="30"/>
        <v>23363.66616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17" t="s">
        <v>14</v>
      </c>
      <c r="B22" s="37">
        <f t="shared" ref="B22:F22" si="31">B20/B18</f>
        <v>0.4082778698</v>
      </c>
      <c r="C22" s="37">
        <f t="shared" si="31"/>
        <v>0.3963557348</v>
      </c>
      <c r="D22" s="37">
        <f t="shared" si="31"/>
        <v>0.4072690312</v>
      </c>
      <c r="E22" s="37">
        <f t="shared" si="31"/>
        <v>0.4385450588</v>
      </c>
      <c r="F22" s="37">
        <f t="shared" si="31"/>
        <v>0.3837895763</v>
      </c>
      <c r="G22" s="34"/>
      <c r="H22" s="17" t="s">
        <v>14</v>
      </c>
      <c r="I22" s="18">
        <f t="shared" ref="I22:O22" si="32">I20/I18</f>
        <v>0.342788245</v>
      </c>
      <c r="J22" s="18">
        <f t="shared" si="32"/>
        <v>0.4474059586</v>
      </c>
      <c r="K22" s="18">
        <f t="shared" si="32"/>
        <v>0.3763992506</v>
      </c>
      <c r="L22" s="18">
        <f t="shared" si="32"/>
        <v>0.3456296771</v>
      </c>
      <c r="M22" s="18">
        <f t="shared" si="32"/>
        <v>0.7724073743</v>
      </c>
      <c r="N22" s="18">
        <f t="shared" si="32"/>
        <v>0.2994753169</v>
      </c>
      <c r="O22" s="18">
        <f t="shared" si="32"/>
        <v>0.3763992506</v>
      </c>
      <c r="P22" s="6"/>
      <c r="Q22" s="17" t="s">
        <v>14</v>
      </c>
      <c r="R22" s="18">
        <f t="shared" ref="R22:X22" si="33">R20/R18</f>
        <v>0.3222209503</v>
      </c>
      <c r="S22" s="18">
        <f t="shared" si="33"/>
        <v>0.4003709732</v>
      </c>
      <c r="T22" s="18">
        <f t="shared" si="33"/>
        <v>0.3456929959</v>
      </c>
      <c r="U22" s="18">
        <f t="shared" si="33"/>
        <v>0.3304787871</v>
      </c>
      <c r="V22" s="18">
        <f t="shared" si="33"/>
        <v>0.5326947409</v>
      </c>
      <c r="W22" s="18">
        <f t="shared" si="33"/>
        <v>0.3167178351</v>
      </c>
      <c r="X22" s="18">
        <f t="shared" si="33"/>
        <v>0.3598995574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35" t="s">
        <v>18</v>
      </c>
      <c r="B23" s="35">
        <v>33500.0</v>
      </c>
      <c r="C23" s="35">
        <v>36500.0</v>
      </c>
      <c r="D23" s="35">
        <v>36500.0</v>
      </c>
      <c r="E23" s="35">
        <v>36500.0</v>
      </c>
      <c r="F23" s="35">
        <v>36500.0</v>
      </c>
      <c r="G23" s="34"/>
      <c r="H23" s="13" t="s">
        <v>18</v>
      </c>
      <c r="I23" s="13">
        <v>33500.0</v>
      </c>
      <c r="J23" s="13">
        <v>36500.0</v>
      </c>
      <c r="K23" s="13">
        <v>36500.0</v>
      </c>
      <c r="L23" s="13">
        <v>36500.0</v>
      </c>
      <c r="M23" s="13"/>
      <c r="N23" s="13">
        <v>36500.0</v>
      </c>
      <c r="O23" s="13">
        <v>36500.0</v>
      </c>
      <c r="P23" s="6"/>
      <c r="Q23" s="13" t="s">
        <v>18</v>
      </c>
      <c r="R23" s="14">
        <v>41000.0</v>
      </c>
      <c r="S23" s="14">
        <v>48000.0</v>
      </c>
      <c r="T23" s="14">
        <v>45000.0</v>
      </c>
      <c r="U23" s="13">
        <v>43000.0</v>
      </c>
      <c r="V23" s="13"/>
      <c r="W23" s="14">
        <v>39000.0</v>
      </c>
      <c r="X23" s="14">
        <v>43000.0</v>
      </c>
      <c r="Y23" s="6">
        <f t="shared" ref="Y23:AE23" si="34">R23/5</f>
        <v>8200</v>
      </c>
      <c r="Z23" s="6">
        <f t="shared" si="34"/>
        <v>9600</v>
      </c>
      <c r="AA23" s="6">
        <f t="shared" si="34"/>
        <v>9000</v>
      </c>
      <c r="AB23" s="6">
        <f t="shared" si="34"/>
        <v>8600</v>
      </c>
      <c r="AC23" s="6">
        <f t="shared" si="34"/>
        <v>0</v>
      </c>
      <c r="AD23" s="6">
        <f t="shared" si="34"/>
        <v>7800</v>
      </c>
      <c r="AE23" s="6">
        <f t="shared" si="34"/>
        <v>8600</v>
      </c>
      <c r="AF23" s="6"/>
      <c r="AG23" s="6"/>
      <c r="AH23" s="6"/>
      <c r="AI23" s="6"/>
      <c r="AJ23" s="6"/>
      <c r="AK23" s="6"/>
    </row>
    <row r="24">
      <c r="A24" s="15" t="s">
        <v>33</v>
      </c>
      <c r="B24" s="36">
        <v>12574.370785104004</v>
      </c>
      <c r="C24" s="36">
        <v>13163.301998253453</v>
      </c>
      <c r="D24" s="36">
        <v>13723.410891397916</v>
      </c>
      <c r="E24" s="36">
        <v>15328.607012837707</v>
      </c>
      <c r="F24" s="36">
        <v>12518.36239381746</v>
      </c>
      <c r="G24" s="34"/>
      <c r="H24" s="15" t="s">
        <v>11</v>
      </c>
      <c r="I24" s="16">
        <v>10629.251700680274</v>
      </c>
      <c r="J24" s="16">
        <v>17006.802721088436</v>
      </c>
      <c r="K24" s="16">
        <v>13362.487852283772</v>
      </c>
      <c r="L24" s="16">
        <v>11783.284742468417</v>
      </c>
      <c r="M24" s="16"/>
      <c r="N24" s="16">
        <v>9414.480077745384</v>
      </c>
      <c r="O24" s="16">
        <v>13362.487852283772</v>
      </c>
      <c r="P24" s="6"/>
      <c r="Q24" s="15" t="s">
        <v>11</v>
      </c>
      <c r="R24" s="16">
        <v>10629.251700680274</v>
      </c>
      <c r="S24" s="16">
        <v>17006.802721088436</v>
      </c>
      <c r="T24" s="16">
        <v>13362.487852283772</v>
      </c>
      <c r="U24" s="16">
        <v>11783.284742468417</v>
      </c>
      <c r="V24" s="16"/>
      <c r="W24" s="16">
        <v>9414.480077745384</v>
      </c>
      <c r="X24" s="16">
        <v>13362.487852283772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15" t="s">
        <v>12</v>
      </c>
      <c r="B25" s="36">
        <v>18190.38517359321</v>
      </c>
      <c r="C25" s="36">
        <v>18779.316386742663</v>
      </c>
      <c r="D25" s="36">
        <v>19339.425279887124</v>
      </c>
      <c r="E25" s="36">
        <v>20944.621401326916</v>
      </c>
      <c r="F25" s="36">
        <v>18134.37678230667</v>
      </c>
      <c r="G25" s="34"/>
      <c r="H25" s="15" t="s">
        <v>12</v>
      </c>
      <c r="I25" s="16">
        <v>15101.7253848908</v>
      </c>
      <c r="J25" s="16">
        <v>21567.276405298962</v>
      </c>
      <c r="K25" s="16">
        <v>17922.9615364943</v>
      </c>
      <c r="L25" s="16">
        <v>16343.758426678944</v>
      </c>
      <c r="M25" s="16"/>
      <c r="N25" s="16">
        <v>13974.95376195591</v>
      </c>
      <c r="O25" s="16">
        <v>17922.9615364943</v>
      </c>
      <c r="P25" s="6"/>
      <c r="Q25" s="15" t="s">
        <v>12</v>
      </c>
      <c r="R25" s="16">
        <v>15101.7253848908</v>
      </c>
      <c r="S25" s="16">
        <v>21567.276405298962</v>
      </c>
      <c r="T25" s="16">
        <v>17922.9615364943</v>
      </c>
      <c r="U25" s="16">
        <v>16343.758426678944</v>
      </c>
      <c r="V25" s="16"/>
      <c r="W25" s="16">
        <v>13974.95376195591</v>
      </c>
      <c r="X25" s="16">
        <v>17922.9615364943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15" t="s">
        <v>13</v>
      </c>
      <c r="B26" s="36">
        <f t="shared" ref="B26:F26" si="35">B23-B25</f>
        <v>15309.61483</v>
      </c>
      <c r="C26" s="36">
        <f t="shared" si="35"/>
        <v>17720.68361</v>
      </c>
      <c r="D26" s="36">
        <f t="shared" si="35"/>
        <v>17160.57472</v>
      </c>
      <c r="E26" s="36">
        <f t="shared" si="35"/>
        <v>15555.3786</v>
      </c>
      <c r="F26" s="36">
        <f t="shared" si="35"/>
        <v>18365.62322</v>
      </c>
      <c r="G26" s="34"/>
      <c r="H26" s="15" t="s">
        <v>13</v>
      </c>
      <c r="I26" s="16">
        <f t="shared" ref="I26:L26" si="36">I23-I25</f>
        <v>18398.27462</v>
      </c>
      <c r="J26" s="16">
        <f t="shared" si="36"/>
        <v>14932.72359</v>
      </c>
      <c r="K26" s="16">
        <f t="shared" si="36"/>
        <v>18577.03846</v>
      </c>
      <c r="L26" s="16">
        <f t="shared" si="36"/>
        <v>20156.24157</v>
      </c>
      <c r="M26" s="16"/>
      <c r="N26" s="16">
        <f t="shared" ref="N26:O26" si="37">N23-N25</f>
        <v>22525.04624</v>
      </c>
      <c r="O26" s="16">
        <f t="shared" si="37"/>
        <v>18577.03846</v>
      </c>
      <c r="P26" s="6"/>
      <c r="Q26" s="15" t="s">
        <v>13</v>
      </c>
      <c r="R26" s="16">
        <f t="shared" ref="R26:X26" si="38">R23-R25</f>
        <v>25898.27462</v>
      </c>
      <c r="S26" s="16">
        <f t="shared" si="38"/>
        <v>26432.72359</v>
      </c>
      <c r="T26" s="16">
        <f t="shared" si="38"/>
        <v>27077.03846</v>
      </c>
      <c r="U26" s="16">
        <f t="shared" si="38"/>
        <v>26656.24157</v>
      </c>
      <c r="V26" s="16">
        <f t="shared" si="38"/>
        <v>0</v>
      </c>
      <c r="W26" s="16">
        <f t="shared" si="38"/>
        <v>25025.04624</v>
      </c>
      <c r="X26" s="16">
        <f t="shared" si="38"/>
        <v>25077.03846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17" t="s">
        <v>14</v>
      </c>
      <c r="B27" s="37">
        <f t="shared" ref="B27:F27" si="39">B25/B23</f>
        <v>0.5429965723</v>
      </c>
      <c r="C27" s="37">
        <f t="shared" si="39"/>
        <v>0.5145018188</v>
      </c>
      <c r="D27" s="37">
        <f t="shared" si="39"/>
        <v>0.5298472679</v>
      </c>
      <c r="E27" s="37">
        <f t="shared" si="39"/>
        <v>0.5738252439</v>
      </c>
      <c r="F27" s="37">
        <f t="shared" si="39"/>
        <v>0.4968322406</v>
      </c>
      <c r="G27" s="34"/>
      <c r="H27" s="17" t="s">
        <v>14</v>
      </c>
      <c r="I27" s="18">
        <f t="shared" ref="I27:L27" si="40">I25/I23</f>
        <v>0.4507977727</v>
      </c>
      <c r="J27" s="18">
        <f t="shared" si="40"/>
        <v>0.5908842851</v>
      </c>
      <c r="K27" s="18">
        <f t="shared" si="40"/>
        <v>0.4910400421</v>
      </c>
      <c r="L27" s="18">
        <f t="shared" si="40"/>
        <v>0.4477742035</v>
      </c>
      <c r="M27" s="16"/>
      <c r="N27" s="18">
        <f t="shared" ref="N27:O27" si="41">N25/N23</f>
        <v>0.3828754455</v>
      </c>
      <c r="O27" s="18">
        <f t="shared" si="41"/>
        <v>0.4910400421</v>
      </c>
      <c r="P27" s="6"/>
      <c r="Q27" s="17" t="s">
        <v>14</v>
      </c>
      <c r="R27" s="18">
        <f t="shared" ref="R27:U27" si="42">R25/R23</f>
        <v>0.3683347655</v>
      </c>
      <c r="S27" s="18">
        <f t="shared" si="42"/>
        <v>0.4493182584</v>
      </c>
      <c r="T27" s="18">
        <f t="shared" si="42"/>
        <v>0.3982880341</v>
      </c>
      <c r="U27" s="18">
        <f t="shared" si="42"/>
        <v>0.3800874053</v>
      </c>
      <c r="V27" s="18"/>
      <c r="W27" s="18">
        <f t="shared" ref="W27:X27" si="43">W25/W23</f>
        <v>0.3583321477</v>
      </c>
      <c r="X27" s="18">
        <f t="shared" si="43"/>
        <v>0.416813059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35" t="s">
        <v>19</v>
      </c>
      <c r="B28" s="35">
        <v>55000.0</v>
      </c>
      <c r="C28" s="35">
        <v>55000.0</v>
      </c>
      <c r="D28" s="35">
        <v>55000.0</v>
      </c>
      <c r="E28" s="35">
        <v>55000.0</v>
      </c>
      <c r="F28" s="35">
        <v>55000.0</v>
      </c>
      <c r="G28" s="34"/>
      <c r="H28" s="13" t="s">
        <v>19</v>
      </c>
      <c r="I28" s="13">
        <v>55000.0</v>
      </c>
      <c r="J28" s="13">
        <v>55000.0</v>
      </c>
      <c r="K28" s="13">
        <v>55000.0</v>
      </c>
      <c r="L28" s="13">
        <v>55000.0</v>
      </c>
      <c r="M28" s="13"/>
      <c r="N28" s="13">
        <v>55000.0</v>
      </c>
      <c r="O28" s="13">
        <v>55000.0</v>
      </c>
      <c r="P28" s="6"/>
      <c r="Q28" s="13" t="s">
        <v>19</v>
      </c>
      <c r="R28" s="14">
        <v>76000.0</v>
      </c>
      <c r="S28" s="14">
        <v>90000.0</v>
      </c>
      <c r="T28" s="14">
        <v>84000.0</v>
      </c>
      <c r="U28" s="14">
        <v>80000.0</v>
      </c>
      <c r="V28" s="13"/>
      <c r="W28" s="14">
        <v>72000.0</v>
      </c>
      <c r="X28" s="14">
        <v>80000.0</v>
      </c>
      <c r="Y28" s="6">
        <f t="shared" ref="Y28:AE28" si="44">R23*2</f>
        <v>82000</v>
      </c>
      <c r="Z28" s="6">
        <f t="shared" si="44"/>
        <v>96000</v>
      </c>
      <c r="AA28" s="6">
        <f t="shared" si="44"/>
        <v>90000</v>
      </c>
      <c r="AB28" s="6">
        <f t="shared" si="44"/>
        <v>86000</v>
      </c>
      <c r="AC28" s="6">
        <f t="shared" si="44"/>
        <v>0</v>
      </c>
      <c r="AD28" s="6">
        <f t="shared" si="44"/>
        <v>78000</v>
      </c>
      <c r="AE28" s="6">
        <f t="shared" si="44"/>
        <v>86000</v>
      </c>
      <c r="AF28" s="6"/>
      <c r="AG28" s="6"/>
      <c r="AH28" s="6"/>
      <c r="AI28" s="6"/>
      <c r="AJ28" s="6"/>
      <c r="AK28" s="6"/>
    </row>
    <row r="29">
      <c r="A29" s="15" t="s">
        <v>33</v>
      </c>
      <c r="B29" s="36">
        <v>25148.741570208007</v>
      </c>
      <c r="C29" s="36">
        <v>26326.603996506907</v>
      </c>
      <c r="D29" s="36">
        <v>27446.821782795832</v>
      </c>
      <c r="E29" s="36">
        <v>30657.214025675414</v>
      </c>
      <c r="F29" s="36">
        <v>25036.72478763492</v>
      </c>
      <c r="G29" s="34"/>
      <c r="H29" s="15" t="s">
        <v>11</v>
      </c>
      <c r="I29" s="16">
        <v>21258.503401360547</v>
      </c>
      <c r="J29" s="16">
        <v>34013.60544217687</v>
      </c>
      <c r="K29" s="16">
        <v>26724.975704567543</v>
      </c>
      <c r="L29" s="16">
        <v>23566.569484936834</v>
      </c>
      <c r="M29" s="16"/>
      <c r="N29" s="16">
        <v>18828.960155490768</v>
      </c>
      <c r="O29" s="16">
        <v>26724.975704567543</v>
      </c>
      <c r="P29" s="6"/>
      <c r="Q29" s="15" t="s">
        <v>11</v>
      </c>
      <c r="R29" s="16">
        <v>21258.503401360547</v>
      </c>
      <c r="S29" s="16">
        <v>34013.60544217687</v>
      </c>
      <c r="T29" s="16">
        <v>26724.975704567543</v>
      </c>
      <c r="U29" s="16">
        <v>23566.569484936834</v>
      </c>
      <c r="V29" s="16"/>
      <c r="W29" s="16">
        <v>18828.960155490768</v>
      </c>
      <c r="X29" s="16">
        <v>26724.975704567543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15" t="s">
        <v>12</v>
      </c>
      <c r="B30" s="36">
        <v>33246.77034718642</v>
      </c>
      <c r="C30" s="36">
        <v>34424.632773485326</v>
      </c>
      <c r="D30" s="36">
        <v>35544.85055977425</v>
      </c>
      <c r="E30" s="36">
        <v>38755.24280265383</v>
      </c>
      <c r="F30" s="36">
        <v>33134.75356461334</v>
      </c>
      <c r="G30" s="34"/>
      <c r="H30" s="15" t="s">
        <v>12</v>
      </c>
      <c r="I30" s="16">
        <v>27120.4507697816</v>
      </c>
      <c r="J30" s="16">
        <v>39963.552810597925</v>
      </c>
      <c r="K30" s="16">
        <v>32674.923072988597</v>
      </c>
      <c r="L30" s="16">
        <v>29516.516853357887</v>
      </c>
      <c r="M30" s="16"/>
      <c r="N30" s="16">
        <v>24778.90752391182</v>
      </c>
      <c r="O30" s="16">
        <v>32674.923072988597</v>
      </c>
      <c r="P30" s="6"/>
      <c r="Q30" s="15" t="s">
        <v>12</v>
      </c>
      <c r="R30" s="16">
        <v>27120.4507697816</v>
      </c>
      <c r="S30" s="16">
        <v>39963.552810597925</v>
      </c>
      <c r="T30" s="16">
        <v>32674.923072988597</v>
      </c>
      <c r="U30" s="16">
        <v>29516.516853357887</v>
      </c>
      <c r="V30" s="16"/>
      <c r="W30" s="16">
        <v>24778.90752391182</v>
      </c>
      <c r="X30" s="16">
        <v>32674.923072988597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15" t="s">
        <v>13</v>
      </c>
      <c r="B31" s="36">
        <f t="shared" ref="B31:F31" si="45">B28-B30</f>
        <v>21753.22965</v>
      </c>
      <c r="C31" s="36">
        <f t="shared" si="45"/>
        <v>20575.36723</v>
      </c>
      <c r="D31" s="36">
        <f t="shared" si="45"/>
        <v>19455.14944</v>
      </c>
      <c r="E31" s="36">
        <f t="shared" si="45"/>
        <v>16244.7572</v>
      </c>
      <c r="F31" s="36">
        <f t="shared" si="45"/>
        <v>21865.24644</v>
      </c>
      <c r="G31" s="34"/>
      <c r="H31" s="15" t="s">
        <v>13</v>
      </c>
      <c r="I31" s="16">
        <f t="shared" ref="I31:O31" si="46">I28-I30</f>
        <v>27879.54923</v>
      </c>
      <c r="J31" s="16">
        <f t="shared" si="46"/>
        <v>15036.44719</v>
      </c>
      <c r="K31" s="16">
        <f t="shared" si="46"/>
        <v>22325.07693</v>
      </c>
      <c r="L31" s="16">
        <f t="shared" si="46"/>
        <v>25483.48315</v>
      </c>
      <c r="M31" s="16">
        <f t="shared" si="46"/>
        <v>0</v>
      </c>
      <c r="N31" s="16">
        <f t="shared" si="46"/>
        <v>30221.09248</v>
      </c>
      <c r="O31" s="16">
        <f t="shared" si="46"/>
        <v>22325.07693</v>
      </c>
      <c r="P31" s="6"/>
      <c r="Q31" s="15" t="s">
        <v>13</v>
      </c>
      <c r="R31" s="16">
        <f t="shared" ref="R31:X31" si="47">R28-R30</f>
        <v>48879.54923</v>
      </c>
      <c r="S31" s="16">
        <f t="shared" si="47"/>
        <v>50036.44719</v>
      </c>
      <c r="T31" s="16">
        <f t="shared" si="47"/>
        <v>51325.07693</v>
      </c>
      <c r="U31" s="16">
        <f t="shared" si="47"/>
        <v>50483.48315</v>
      </c>
      <c r="V31" s="16">
        <f t="shared" si="47"/>
        <v>0</v>
      </c>
      <c r="W31" s="16">
        <f t="shared" si="47"/>
        <v>47221.09248</v>
      </c>
      <c r="X31" s="16">
        <f t="shared" si="47"/>
        <v>47325.07693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17" t="s">
        <v>14</v>
      </c>
      <c r="B32" s="37">
        <f t="shared" ref="B32:F32" si="48">B30/B28</f>
        <v>0.6044867336</v>
      </c>
      <c r="C32" s="37">
        <f t="shared" si="48"/>
        <v>0.6259024141</v>
      </c>
      <c r="D32" s="37">
        <f t="shared" si="48"/>
        <v>0.6462700102</v>
      </c>
      <c r="E32" s="37">
        <f t="shared" si="48"/>
        <v>0.7046407782</v>
      </c>
      <c r="F32" s="37">
        <f t="shared" si="48"/>
        <v>0.6024500648</v>
      </c>
      <c r="G32" s="34"/>
      <c r="H32" s="17" t="s">
        <v>14</v>
      </c>
      <c r="I32" s="18">
        <f t="shared" ref="I32:L32" si="49">I30/I28</f>
        <v>0.4930991049</v>
      </c>
      <c r="J32" s="18">
        <f t="shared" si="49"/>
        <v>0.7266100511</v>
      </c>
      <c r="K32" s="18">
        <f t="shared" si="49"/>
        <v>0.5940895104</v>
      </c>
      <c r="L32" s="18">
        <f t="shared" si="49"/>
        <v>0.5366639428</v>
      </c>
      <c r="M32" s="18"/>
      <c r="N32" s="18">
        <f t="shared" ref="N32:O32" si="50">N30/N28</f>
        <v>0.4505255913</v>
      </c>
      <c r="O32" s="18">
        <f t="shared" si="50"/>
        <v>0.5940895104</v>
      </c>
      <c r="P32" s="6"/>
      <c r="Q32" s="17" t="s">
        <v>14</v>
      </c>
      <c r="R32" s="18">
        <f t="shared" ref="R32:U32" si="51">R30/R28</f>
        <v>0.3568480364</v>
      </c>
      <c r="S32" s="18">
        <f t="shared" si="51"/>
        <v>0.4440394757</v>
      </c>
      <c r="T32" s="18">
        <f t="shared" si="51"/>
        <v>0.3889871794</v>
      </c>
      <c r="U32" s="18">
        <f t="shared" si="51"/>
        <v>0.3689564607</v>
      </c>
      <c r="V32" s="18"/>
      <c r="W32" s="18">
        <f t="shared" ref="W32:X32" si="52">W30/W28</f>
        <v>0.3441514934</v>
      </c>
      <c r="X32" s="18">
        <f t="shared" si="52"/>
        <v>0.4084365384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38"/>
      <c r="B33" s="38"/>
      <c r="C33" s="38"/>
      <c r="D33" s="38"/>
      <c r="E33" s="38"/>
      <c r="F33" s="3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39"/>
      <c r="B34" s="39"/>
      <c r="C34" s="39"/>
      <c r="D34" s="39"/>
      <c r="E34" s="39"/>
      <c r="F34" s="39"/>
      <c r="G34" s="39"/>
      <c r="M34" s="26"/>
      <c r="N34" s="26"/>
      <c r="O34" s="26"/>
      <c r="P34" s="6"/>
      <c r="Q34" s="6"/>
      <c r="R34" s="27" t="s">
        <v>25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39"/>
      <c r="B35" s="39"/>
      <c r="C35" s="39"/>
      <c r="D35" s="39"/>
      <c r="E35" s="39"/>
      <c r="F35" s="39"/>
      <c r="G35" s="39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39"/>
      <c r="B36" s="39"/>
      <c r="C36" s="39"/>
      <c r="D36" s="39"/>
      <c r="E36" s="39"/>
      <c r="F36" s="39"/>
      <c r="G36" s="3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39"/>
      <c r="B37" s="39"/>
      <c r="C37" s="39"/>
      <c r="D37" s="39"/>
      <c r="E37" s="39"/>
      <c r="F37" s="39"/>
      <c r="G37" s="3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39"/>
      <c r="B38" s="39"/>
      <c r="C38" s="39"/>
      <c r="D38" s="39"/>
      <c r="E38" s="39"/>
      <c r="F38" s="39"/>
      <c r="G38" s="3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39"/>
      <c r="B39" s="39"/>
      <c r="C39" s="39"/>
      <c r="D39" s="39"/>
      <c r="E39" s="39"/>
      <c r="F39" s="39"/>
      <c r="G39" s="3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39"/>
      <c r="B40" s="39"/>
      <c r="C40" s="39"/>
      <c r="D40" s="39"/>
      <c r="E40" s="39"/>
      <c r="F40" s="39"/>
      <c r="G40" s="3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</sheetData>
  <mergeCells count="3">
    <mergeCell ref="A1:F1"/>
    <mergeCell ref="H1:O1"/>
    <mergeCell ref="Q1:X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3.25"/>
    <col customWidth="1" min="3" max="3" width="17.0"/>
    <col customWidth="1" min="4" max="4" width="18.75"/>
    <col customWidth="1" min="5" max="5" width="13.5"/>
    <col customWidth="1" min="6" max="6" width="33.5"/>
    <col customWidth="1" min="7" max="7" width="11.63"/>
    <col customWidth="1" min="8" max="8" width="20.88"/>
    <col customWidth="1" min="9" max="9" width="15.25"/>
    <col customWidth="1" min="10" max="10" width="13.38"/>
    <col customWidth="1" min="12" max="12" width="16.5"/>
  </cols>
  <sheetData>
    <row r="1" ht="22.5" customHeight="1">
      <c r="A1" s="40" t="s">
        <v>35</v>
      </c>
      <c r="B1" s="40" t="s">
        <v>36</v>
      </c>
      <c r="C1" s="40" t="s">
        <v>37</v>
      </c>
      <c r="D1" s="40" t="s">
        <v>38</v>
      </c>
      <c r="E1" s="40" t="s">
        <v>39</v>
      </c>
      <c r="F1" s="41" t="s">
        <v>40</v>
      </c>
      <c r="G1" s="41" t="s">
        <v>41</v>
      </c>
      <c r="H1" s="41" t="s">
        <v>42</v>
      </c>
      <c r="I1" s="41" t="s">
        <v>43</v>
      </c>
      <c r="J1" s="42" t="s">
        <v>44</v>
      </c>
      <c r="K1" s="43" t="s">
        <v>45</v>
      </c>
      <c r="L1" s="42" t="s">
        <v>46</v>
      </c>
      <c r="M1" s="43" t="s">
        <v>47</v>
      </c>
    </row>
    <row r="2" ht="22.5" customHeight="1">
      <c r="A2" s="44" t="s">
        <v>3</v>
      </c>
      <c r="B2" s="45" t="s">
        <v>48</v>
      </c>
      <c r="C2" s="46">
        <v>41000.0</v>
      </c>
      <c r="D2" s="47">
        <v>10629.251700680274</v>
      </c>
      <c r="E2" s="48">
        <f t="shared" ref="E2:E6" si="1">D2/C2</f>
        <v>0.2592500415</v>
      </c>
      <c r="F2" s="45" t="s">
        <v>49</v>
      </c>
      <c r="G2" s="46">
        <v>30000.0</v>
      </c>
      <c r="H2" s="45" t="s">
        <v>50</v>
      </c>
      <c r="I2" s="46">
        <v>34000.0</v>
      </c>
      <c r="J2" s="49" t="s">
        <v>51</v>
      </c>
      <c r="K2" s="50">
        <v>36000.0</v>
      </c>
      <c r="L2" s="49" t="s">
        <v>52</v>
      </c>
      <c r="M2" s="50">
        <v>25000.0</v>
      </c>
    </row>
    <row r="3" ht="22.5" customHeight="1">
      <c r="A3" s="44" t="s">
        <v>32</v>
      </c>
      <c r="B3" s="45" t="s">
        <v>48</v>
      </c>
      <c r="C3" s="46">
        <v>48000.0</v>
      </c>
      <c r="D3" s="47">
        <v>17006.802721088436</v>
      </c>
      <c r="E3" s="48">
        <f t="shared" si="1"/>
        <v>0.35430839</v>
      </c>
      <c r="F3" s="45" t="s">
        <v>53</v>
      </c>
      <c r="G3" s="46">
        <v>32000.0</v>
      </c>
      <c r="H3" s="45" t="s">
        <v>6</v>
      </c>
      <c r="I3" s="46">
        <v>34000.0</v>
      </c>
      <c r="J3" s="49" t="s">
        <v>54</v>
      </c>
      <c r="K3" s="51">
        <v>34000.0</v>
      </c>
      <c r="L3" s="49" t="s">
        <v>5</v>
      </c>
      <c r="M3" s="51">
        <v>29000.0</v>
      </c>
    </row>
    <row r="4" ht="22.5" customHeight="1">
      <c r="A4" s="45" t="s">
        <v>55</v>
      </c>
      <c r="B4" s="45" t="s">
        <v>48</v>
      </c>
      <c r="C4" s="46">
        <v>45000.0</v>
      </c>
      <c r="D4" s="47">
        <v>13362.487852283772</v>
      </c>
      <c r="E4" s="48">
        <f t="shared" si="1"/>
        <v>0.2969441745</v>
      </c>
      <c r="F4" s="45" t="s">
        <v>56</v>
      </c>
      <c r="G4" s="46">
        <v>32000.0</v>
      </c>
      <c r="H4" s="45" t="s">
        <v>57</v>
      </c>
      <c r="I4" s="46">
        <v>52000.0</v>
      </c>
      <c r="J4" s="49" t="s">
        <v>58</v>
      </c>
      <c r="K4" s="50">
        <v>35000.0</v>
      </c>
      <c r="L4" s="49" t="s">
        <v>3</v>
      </c>
      <c r="M4" s="50">
        <v>30000.0</v>
      </c>
    </row>
    <row r="5" ht="22.5" customHeight="1">
      <c r="A5" s="44" t="s">
        <v>6</v>
      </c>
      <c r="B5" s="45" t="s">
        <v>48</v>
      </c>
      <c r="C5" s="46">
        <v>43000.0</v>
      </c>
      <c r="D5" s="47">
        <v>11783.284742468417</v>
      </c>
      <c r="E5" s="48">
        <f t="shared" si="1"/>
        <v>0.2740298777</v>
      </c>
      <c r="F5" s="45" t="s">
        <v>59</v>
      </c>
      <c r="G5" s="46">
        <v>58000.0</v>
      </c>
      <c r="H5" s="45" t="s">
        <v>60</v>
      </c>
      <c r="I5" s="46">
        <v>30000.0</v>
      </c>
      <c r="J5" s="49" t="s">
        <v>5</v>
      </c>
      <c r="K5" s="51">
        <v>39000.0</v>
      </c>
      <c r="L5" s="49" t="s">
        <v>61</v>
      </c>
      <c r="M5" s="51">
        <v>34000.0</v>
      </c>
    </row>
    <row r="6" ht="22.5" customHeight="1">
      <c r="A6" s="45" t="s">
        <v>62</v>
      </c>
      <c r="B6" s="45" t="s">
        <v>48</v>
      </c>
      <c r="C6" s="46">
        <v>43000.0</v>
      </c>
      <c r="D6" s="47">
        <v>13362.487852283772</v>
      </c>
      <c r="E6" s="48">
        <f t="shared" si="1"/>
        <v>0.3107555314</v>
      </c>
      <c r="F6" s="45" t="s">
        <v>63</v>
      </c>
      <c r="G6" s="46">
        <v>32000.0</v>
      </c>
      <c r="H6" s="45" t="s">
        <v>64</v>
      </c>
      <c r="I6" s="46">
        <v>36000.0</v>
      </c>
      <c r="K6" s="52"/>
      <c r="L6" s="49" t="s">
        <v>65</v>
      </c>
      <c r="M6" s="50">
        <v>30000.0</v>
      </c>
    </row>
    <row r="7" ht="22.5" customHeight="1">
      <c r="A7" s="45"/>
      <c r="B7" s="44"/>
      <c r="C7" s="46"/>
      <c r="D7" s="47"/>
      <c r="E7" s="53"/>
      <c r="F7" s="54"/>
      <c r="G7" s="47"/>
      <c r="H7" s="54"/>
      <c r="I7" s="47"/>
      <c r="K7" s="55"/>
      <c r="L7" s="49" t="s">
        <v>66</v>
      </c>
      <c r="M7" s="55"/>
    </row>
    <row r="8">
      <c r="F8" s="56" t="s">
        <v>67</v>
      </c>
      <c r="J8" s="57" t="s">
        <v>68</v>
      </c>
    </row>
    <row r="9">
      <c r="G9" s="58"/>
      <c r="H9" s="58"/>
    </row>
    <row r="10">
      <c r="A10" s="59" t="s">
        <v>69</v>
      </c>
      <c r="G10" s="58"/>
      <c r="H10" s="58"/>
      <c r="I10" s="59"/>
      <c r="J10" s="59"/>
      <c r="K10" s="59"/>
      <c r="L10" s="59"/>
    </row>
    <row r="11">
      <c r="A11" s="60" t="s">
        <v>70</v>
      </c>
      <c r="B11" s="60"/>
      <c r="C11" s="61"/>
      <c r="D11" s="61"/>
      <c r="E11" s="60"/>
      <c r="F11" s="60"/>
      <c r="G11" s="58"/>
      <c r="H11" s="58"/>
      <c r="I11" s="61"/>
      <c r="J11" s="61"/>
      <c r="K11" s="60"/>
      <c r="L11" s="60"/>
    </row>
    <row r="12">
      <c r="A12" s="58" t="s">
        <v>71</v>
      </c>
      <c r="B12" s="62" t="s">
        <v>72</v>
      </c>
      <c r="C12" s="58"/>
      <c r="D12" s="58"/>
      <c r="E12" s="58"/>
      <c r="F12" s="58"/>
      <c r="G12" s="58"/>
      <c r="H12" s="58"/>
    </row>
    <row r="13">
      <c r="A13" s="58" t="s">
        <v>73</v>
      </c>
      <c r="B13" s="62" t="s">
        <v>74</v>
      </c>
      <c r="C13" s="58"/>
      <c r="D13" s="58"/>
      <c r="E13" s="58"/>
      <c r="F13" s="58"/>
      <c r="G13" s="58"/>
      <c r="H13" s="58"/>
    </row>
    <row r="14">
      <c r="A14" s="58" t="s">
        <v>75</v>
      </c>
      <c r="B14" s="62" t="s">
        <v>76</v>
      </c>
      <c r="C14" s="58"/>
      <c r="D14" s="58"/>
      <c r="E14" s="58"/>
      <c r="F14" s="58"/>
      <c r="G14" s="58"/>
      <c r="H14" s="58"/>
    </row>
    <row r="15">
      <c r="A15" s="63" t="s">
        <v>77</v>
      </c>
      <c r="B15" s="62" t="s">
        <v>78</v>
      </c>
      <c r="C15" s="58"/>
      <c r="D15" s="58"/>
      <c r="E15" s="58"/>
      <c r="F15" s="58"/>
      <c r="G15" s="58"/>
      <c r="H15" s="58"/>
    </row>
    <row r="16">
      <c r="A16" s="63" t="s">
        <v>79</v>
      </c>
      <c r="B16" s="62" t="s">
        <v>80</v>
      </c>
      <c r="C16" s="58"/>
      <c r="D16" s="58"/>
      <c r="E16" s="58"/>
      <c r="F16" s="58"/>
      <c r="G16" s="58"/>
      <c r="H16" s="58"/>
    </row>
    <row r="17">
      <c r="A17" s="63" t="s">
        <v>81</v>
      </c>
      <c r="B17" s="62" t="s">
        <v>82</v>
      </c>
      <c r="C17" s="58"/>
      <c r="D17" s="58"/>
      <c r="E17" s="58"/>
      <c r="F17" s="58"/>
      <c r="G17" s="58"/>
      <c r="H17" s="58"/>
    </row>
    <row r="18">
      <c r="A18" s="63" t="s">
        <v>83</v>
      </c>
      <c r="B18" s="62" t="s">
        <v>84</v>
      </c>
      <c r="C18" s="58"/>
      <c r="D18" s="58"/>
      <c r="E18" s="58"/>
      <c r="F18" s="58"/>
      <c r="G18" s="58"/>
      <c r="H18" s="58"/>
    </row>
    <row r="19">
      <c r="A19" s="63" t="s">
        <v>85</v>
      </c>
      <c r="B19" s="62" t="s">
        <v>86</v>
      </c>
      <c r="C19" s="58"/>
      <c r="D19" s="58"/>
      <c r="E19" s="58"/>
      <c r="F19" s="58"/>
      <c r="G19" s="58"/>
      <c r="H19" s="58"/>
    </row>
    <row r="20">
      <c r="A20" s="58"/>
      <c r="B20" s="58"/>
      <c r="C20" s="58"/>
      <c r="D20" s="58"/>
      <c r="E20" s="58"/>
      <c r="F20" s="58"/>
      <c r="G20" s="58"/>
      <c r="H20" s="58"/>
    </row>
    <row r="21">
      <c r="A21" s="58"/>
      <c r="B21" s="58"/>
      <c r="C21" s="58"/>
      <c r="D21" s="58"/>
      <c r="E21" s="58"/>
      <c r="F21" s="58"/>
      <c r="G21" s="58"/>
      <c r="H21" s="58"/>
    </row>
    <row r="22">
      <c r="A22" s="58"/>
      <c r="B22" s="58"/>
      <c r="C22" s="58"/>
      <c r="D22" s="58"/>
      <c r="E22" s="58"/>
      <c r="F22" s="58"/>
      <c r="G22" s="58"/>
      <c r="H22" s="58"/>
    </row>
    <row r="23">
      <c r="A23" s="58"/>
      <c r="B23" s="58"/>
      <c r="C23" s="58"/>
      <c r="D23" s="58"/>
      <c r="E23" s="58"/>
      <c r="F23" s="58"/>
      <c r="G23" s="58"/>
      <c r="H23" s="58"/>
    </row>
  </sheetData>
  <mergeCells count="2">
    <mergeCell ref="F8:I8"/>
    <mergeCell ref="J8:M8"/>
  </mergeCells>
  <dataValidations>
    <dataValidation type="custom" allowBlank="1" showDropDown="1" sqref="D2:D7">
      <formula1>AND(ISNUMBER(D2),(NOT(OR(NOT(ISERROR(DATEVALUE(D2))), AND(ISNUMBER(D2), LEFT(CELL("format", D2))="D")))))</formula1>
    </dataValidation>
    <dataValidation type="custom" allowBlank="1" showDropDown="1" sqref="E2:E7 G2:G7 I2:I7">
      <formula1>AND(ISNUMBER(E2),(NOT(OR(NOT(ISERROR(DATEVALUE(E2))), AND(ISNUMBER(E2), LEFT(CELL("format", E2))="D")))))</formula1>
    </dataValidation>
  </dataValidation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</hyperlinks>
  <drawing r:id="rId9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0.0"/>
    <col customWidth="1" min="3" max="3" width="58.0"/>
    <col customWidth="1" min="4" max="4" width="43.13"/>
    <col customWidth="1" min="5" max="5" width="30.0"/>
    <col customWidth="1" min="6" max="6" width="53.88"/>
    <col customWidth="1" min="7" max="7" width="35.75"/>
  </cols>
  <sheetData>
    <row r="1" ht="40.5" customHeight="1">
      <c r="A1" s="64" t="s">
        <v>87</v>
      </c>
      <c r="B1" s="65" t="s">
        <v>88</v>
      </c>
      <c r="C1" s="65" t="s">
        <v>89</v>
      </c>
      <c r="D1" s="65" t="s">
        <v>90</v>
      </c>
      <c r="E1" s="65" t="s">
        <v>91</v>
      </c>
      <c r="F1" s="65" t="s">
        <v>92</v>
      </c>
      <c r="G1" s="66"/>
      <c r="H1" s="66"/>
      <c r="I1" s="66"/>
      <c r="J1" s="67"/>
    </row>
    <row r="2" ht="40.5" customHeight="1">
      <c r="A2" s="68" t="s">
        <v>93</v>
      </c>
      <c r="G2" s="66"/>
      <c r="H2" s="66"/>
      <c r="I2" s="66"/>
      <c r="J2" s="67"/>
    </row>
    <row r="3" ht="83.25" customHeight="1">
      <c r="A3" s="69">
        <v>1.0</v>
      </c>
      <c r="B3" s="69" t="s">
        <v>94</v>
      </c>
      <c r="C3" s="69" t="s">
        <v>95</v>
      </c>
      <c r="D3" s="69" t="s">
        <v>96</v>
      </c>
      <c r="E3" s="69" t="s">
        <v>97</v>
      </c>
      <c r="F3" s="69" t="s">
        <v>98</v>
      </c>
      <c r="G3" s="70"/>
      <c r="H3" s="70"/>
      <c r="I3" s="70"/>
      <c r="J3" s="67"/>
    </row>
    <row r="4" ht="83.25" customHeight="1">
      <c r="A4" s="71">
        <v>2.0</v>
      </c>
      <c r="B4" s="71" t="s">
        <v>99</v>
      </c>
      <c r="C4" s="71" t="s">
        <v>100</v>
      </c>
      <c r="D4" s="71" t="s">
        <v>101</v>
      </c>
      <c r="E4" s="71" t="s">
        <v>102</v>
      </c>
      <c r="F4" s="71" t="s">
        <v>103</v>
      </c>
      <c r="G4" s="70"/>
      <c r="H4" s="70"/>
      <c r="I4" s="70"/>
      <c r="J4" s="67"/>
    </row>
    <row r="5" ht="83.25" customHeight="1">
      <c r="A5" s="69">
        <v>3.0</v>
      </c>
      <c r="B5" s="72" t="s">
        <v>104</v>
      </c>
      <c r="C5" s="73" t="s">
        <v>105</v>
      </c>
      <c r="D5" s="73" t="s">
        <v>106</v>
      </c>
      <c r="E5" s="73" t="s">
        <v>107</v>
      </c>
      <c r="F5" s="73" t="s">
        <v>108</v>
      </c>
      <c r="G5" s="70"/>
      <c r="H5" s="70"/>
      <c r="I5" s="70"/>
      <c r="J5" s="67"/>
    </row>
    <row r="6" ht="83.25" customHeight="1">
      <c r="A6" s="71">
        <v>4.0</v>
      </c>
      <c r="B6" s="74" t="s">
        <v>109</v>
      </c>
      <c r="C6" s="75" t="s">
        <v>110</v>
      </c>
      <c r="D6" s="76" t="s">
        <v>111</v>
      </c>
      <c r="E6" s="76" t="s">
        <v>112</v>
      </c>
      <c r="F6" s="75" t="s">
        <v>113</v>
      </c>
      <c r="G6" s="70"/>
      <c r="H6" s="70"/>
      <c r="I6" s="70"/>
      <c r="J6" s="67"/>
    </row>
    <row r="7" ht="83.25" customHeight="1">
      <c r="A7" s="71">
        <v>5.0</v>
      </c>
      <c r="B7" s="74" t="s">
        <v>114</v>
      </c>
      <c r="C7" s="76" t="s">
        <v>115</v>
      </c>
      <c r="D7" s="75" t="s">
        <v>116</v>
      </c>
      <c r="E7" s="77" t="s">
        <v>117</v>
      </c>
      <c r="F7" s="76" t="s">
        <v>118</v>
      </c>
      <c r="G7" s="70"/>
      <c r="H7" s="70"/>
      <c r="I7" s="70"/>
      <c r="J7" s="67"/>
    </row>
    <row r="8" ht="83.25" customHeight="1">
      <c r="A8" s="71">
        <v>6.0</v>
      </c>
      <c r="B8" s="74" t="s">
        <v>119</v>
      </c>
      <c r="C8" s="76" t="s">
        <v>120</v>
      </c>
      <c r="D8" s="76" t="s">
        <v>121</v>
      </c>
      <c r="E8" s="77" t="s">
        <v>117</v>
      </c>
      <c r="F8" s="76" t="s">
        <v>122</v>
      </c>
      <c r="G8" s="70"/>
      <c r="H8" s="70"/>
      <c r="I8" s="70"/>
      <c r="J8" s="67"/>
    </row>
    <row r="9" ht="83.25" customHeight="1">
      <c r="A9" s="71">
        <v>7.0</v>
      </c>
      <c r="B9" s="74" t="s">
        <v>123</v>
      </c>
      <c r="C9" s="76" t="s">
        <v>124</v>
      </c>
      <c r="D9" s="76" t="s">
        <v>125</v>
      </c>
      <c r="E9" s="77" t="s">
        <v>117</v>
      </c>
      <c r="F9" s="76" t="s">
        <v>126</v>
      </c>
      <c r="G9" s="70"/>
      <c r="H9" s="70"/>
      <c r="I9" s="70"/>
      <c r="J9" s="67"/>
    </row>
    <row r="10">
      <c r="A10" s="78">
        <v>8.0</v>
      </c>
      <c r="B10" s="78" t="s">
        <v>127</v>
      </c>
      <c r="C10" s="79" t="s">
        <v>128</v>
      </c>
      <c r="D10" s="79" t="s">
        <v>129</v>
      </c>
      <c r="E10" s="79" t="s">
        <v>130</v>
      </c>
      <c r="F10" s="79" t="s">
        <v>131</v>
      </c>
      <c r="G10" s="70"/>
      <c r="H10" s="70"/>
      <c r="I10" s="66"/>
      <c r="J10" s="67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7"/>
    </row>
    <row r="12">
      <c r="A12" s="80" t="s">
        <v>132</v>
      </c>
      <c r="I12" s="66"/>
      <c r="J12" s="67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7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7"/>
    </row>
    <row r="15" ht="51.0" customHeight="1">
      <c r="A15" s="81" t="s">
        <v>133</v>
      </c>
      <c r="B15" s="82"/>
      <c r="C15" s="82"/>
      <c r="D15" s="82"/>
      <c r="E15" s="82"/>
      <c r="F15" s="82"/>
      <c r="G15" s="82"/>
      <c r="H15" s="66"/>
      <c r="I15" s="66"/>
      <c r="J15" s="67"/>
    </row>
    <row r="16">
      <c r="A16" s="83"/>
      <c r="B16" s="83"/>
      <c r="C16" s="83"/>
      <c r="D16" s="83"/>
      <c r="E16" s="83"/>
      <c r="F16" s="83"/>
      <c r="G16" s="83"/>
      <c r="H16" s="66"/>
      <c r="I16" s="66"/>
      <c r="J16" s="67"/>
    </row>
    <row r="17">
      <c r="A17" s="83"/>
      <c r="B17" s="83"/>
      <c r="C17" s="83"/>
      <c r="D17" s="83"/>
      <c r="E17" s="83"/>
      <c r="F17" s="83"/>
      <c r="G17" s="83"/>
      <c r="H17" s="66"/>
      <c r="I17" s="66"/>
      <c r="J17" s="67"/>
    </row>
    <row r="18">
      <c r="A18" s="84"/>
      <c r="B18" s="85" t="s">
        <v>88</v>
      </c>
      <c r="C18" s="85" t="s">
        <v>134</v>
      </c>
      <c r="D18" s="85" t="s">
        <v>135</v>
      </c>
      <c r="E18" s="85" t="s">
        <v>136</v>
      </c>
      <c r="F18" s="85" t="s">
        <v>91</v>
      </c>
      <c r="G18" s="85" t="s">
        <v>137</v>
      </c>
      <c r="H18" s="66"/>
      <c r="I18" s="66"/>
      <c r="J18" s="67"/>
    </row>
    <row r="19">
      <c r="A19" s="86" t="s">
        <v>138</v>
      </c>
      <c r="B19" s="87"/>
      <c r="C19" s="87"/>
      <c r="D19" s="87"/>
      <c r="E19" s="87"/>
      <c r="F19" s="87"/>
      <c r="G19" s="87"/>
      <c r="H19" s="66"/>
      <c r="I19" s="66"/>
      <c r="J19" s="67"/>
    </row>
    <row r="20">
      <c r="A20" s="88">
        <v>1.0</v>
      </c>
      <c r="B20" s="89" t="s">
        <v>139</v>
      </c>
      <c r="C20" s="90" t="s">
        <v>140</v>
      </c>
      <c r="D20" s="91" t="s">
        <v>141</v>
      </c>
      <c r="E20" s="91" t="s">
        <v>142</v>
      </c>
      <c r="F20" s="91" t="s">
        <v>143</v>
      </c>
      <c r="G20" s="91" t="s">
        <v>144</v>
      </c>
      <c r="H20" s="70"/>
      <c r="I20" s="70"/>
      <c r="J20" s="92"/>
    </row>
    <row r="21">
      <c r="A21" s="93">
        <v>2.0</v>
      </c>
      <c r="B21" s="94" t="s">
        <v>145</v>
      </c>
      <c r="C21" s="95" t="s">
        <v>146</v>
      </c>
      <c r="D21" s="96" t="s">
        <v>147</v>
      </c>
      <c r="E21" s="96" t="s">
        <v>148</v>
      </c>
      <c r="F21" s="96" t="s">
        <v>149</v>
      </c>
      <c r="G21" s="96" t="s">
        <v>150</v>
      </c>
      <c r="H21" s="70"/>
      <c r="I21" s="70"/>
      <c r="J21" s="92"/>
    </row>
    <row r="22">
      <c r="A22" s="93">
        <v>3.0</v>
      </c>
      <c r="B22" s="94" t="s">
        <v>151</v>
      </c>
      <c r="C22" s="95" t="s">
        <v>152</v>
      </c>
      <c r="D22" s="96" t="s">
        <v>153</v>
      </c>
      <c r="E22" s="96" t="s">
        <v>154</v>
      </c>
      <c r="F22" s="96" t="s">
        <v>155</v>
      </c>
      <c r="G22" s="96" t="s">
        <v>156</v>
      </c>
      <c r="H22" s="70"/>
      <c r="I22" s="70"/>
      <c r="J22" s="92"/>
    </row>
    <row r="23">
      <c r="A23" s="97">
        <v>4.0</v>
      </c>
      <c r="B23" s="71" t="s">
        <v>157</v>
      </c>
      <c r="C23" s="71" t="s">
        <v>158</v>
      </c>
      <c r="D23" s="71" t="s">
        <v>159</v>
      </c>
      <c r="E23" s="71" t="s">
        <v>160</v>
      </c>
      <c r="F23" s="71" t="s">
        <v>161</v>
      </c>
      <c r="G23" s="98"/>
      <c r="H23" s="70"/>
      <c r="I23" s="70"/>
      <c r="J23" s="92"/>
    </row>
    <row r="24">
      <c r="A24" s="97">
        <v>5.0</v>
      </c>
      <c r="B24" s="71" t="s">
        <v>162</v>
      </c>
      <c r="C24" s="71" t="s">
        <v>163</v>
      </c>
      <c r="D24" s="71" t="s">
        <v>164</v>
      </c>
      <c r="E24" s="71" t="s">
        <v>165</v>
      </c>
      <c r="F24" s="71"/>
      <c r="G24" s="98"/>
      <c r="H24" s="70"/>
      <c r="I24" s="70"/>
      <c r="J24" s="92"/>
    </row>
    <row r="25">
      <c r="A25" s="99" t="s">
        <v>166</v>
      </c>
      <c r="B25" s="87"/>
      <c r="C25" s="87"/>
      <c r="D25" s="87"/>
      <c r="E25" s="87"/>
      <c r="F25" s="87"/>
      <c r="G25" s="87"/>
      <c r="H25" s="66"/>
      <c r="I25" s="66"/>
      <c r="J25" s="67"/>
    </row>
    <row r="26" ht="59.25" customHeight="1">
      <c r="A26" s="100" t="s">
        <v>167</v>
      </c>
      <c r="B26" s="87"/>
      <c r="C26" s="87"/>
      <c r="D26" s="87"/>
      <c r="E26" s="87"/>
      <c r="F26" s="87"/>
      <c r="G26" s="87"/>
      <c r="H26" s="66"/>
      <c r="I26" s="66"/>
      <c r="J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</row>
  </sheetData>
  <mergeCells count="6">
    <mergeCell ref="A2:F2"/>
    <mergeCell ref="A12:H12"/>
    <mergeCell ref="A15:G15"/>
    <mergeCell ref="A19:G19"/>
    <mergeCell ref="A25:G25"/>
    <mergeCell ref="A26:G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2.25"/>
    <col customWidth="1" min="3" max="3" width="9.5"/>
    <col customWidth="1" min="4" max="4" width="22.75"/>
    <col customWidth="1" min="5" max="6" width="15.5"/>
    <col customWidth="1" min="7" max="7" width="14.5"/>
    <col customWidth="1" min="8" max="8" width="18.75"/>
    <col customWidth="1" min="9" max="9" width="18.88"/>
    <col customWidth="1" min="11" max="11" width="33.13"/>
    <col customWidth="1" min="12" max="12" width="19.0"/>
  </cols>
  <sheetData>
    <row r="1" ht="22.5" customHeight="1">
      <c r="A1" s="101"/>
      <c r="B1" s="102" t="s">
        <v>35</v>
      </c>
      <c r="C1" s="102" t="s">
        <v>36</v>
      </c>
      <c r="D1" s="102" t="s">
        <v>168</v>
      </c>
      <c r="E1" s="102" t="s">
        <v>169</v>
      </c>
      <c r="F1" s="102" t="s">
        <v>170</v>
      </c>
      <c r="G1" s="102" t="s">
        <v>171</v>
      </c>
      <c r="H1" s="102" t="s">
        <v>172</v>
      </c>
      <c r="I1" s="102" t="s">
        <v>173</v>
      </c>
      <c r="K1" s="40" t="s">
        <v>174</v>
      </c>
      <c r="L1" s="103" t="s">
        <v>175</v>
      </c>
    </row>
    <row r="2" ht="22.5" customHeight="1">
      <c r="A2" s="104"/>
      <c r="B2" s="105" t="s">
        <v>3</v>
      </c>
      <c r="C2" s="106" t="s">
        <v>176</v>
      </c>
      <c r="D2" s="106" t="s">
        <v>177</v>
      </c>
      <c r="E2" s="107">
        <v>18300.0</v>
      </c>
      <c r="F2" s="107">
        <v>3838.0</v>
      </c>
      <c r="G2" s="107">
        <v>900.0</v>
      </c>
      <c r="H2" s="108">
        <f t="shared" ref="H2:H11" si="1">F2+G2</f>
        <v>4738</v>
      </c>
      <c r="I2" s="109">
        <f t="shared" ref="I2:I11" si="2">H2/E2</f>
        <v>0.2589071038</v>
      </c>
      <c r="K2" s="45" t="s">
        <v>178</v>
      </c>
      <c r="L2" s="110">
        <v>14500.0</v>
      </c>
    </row>
    <row r="3" ht="22.5" customHeight="1">
      <c r="A3" s="111" t="s">
        <v>179</v>
      </c>
      <c r="B3" s="112" t="s">
        <v>3</v>
      </c>
      <c r="C3" s="113" t="s">
        <v>176</v>
      </c>
      <c r="D3" s="114" t="s">
        <v>180</v>
      </c>
      <c r="E3" s="115">
        <v>18300.0</v>
      </c>
      <c r="F3" s="115">
        <v>4252.0</v>
      </c>
      <c r="G3" s="116"/>
      <c r="H3" s="116">
        <f t="shared" si="1"/>
        <v>4252</v>
      </c>
      <c r="I3" s="117">
        <f t="shared" si="2"/>
        <v>0.2323497268</v>
      </c>
      <c r="K3" s="45" t="s">
        <v>181</v>
      </c>
      <c r="L3" s="110">
        <v>17500.0</v>
      </c>
    </row>
    <row r="4" ht="22.5" customHeight="1">
      <c r="A4" s="104"/>
      <c r="B4" s="105" t="s">
        <v>32</v>
      </c>
      <c r="C4" s="106" t="s">
        <v>176</v>
      </c>
      <c r="D4" s="106" t="s">
        <v>177</v>
      </c>
      <c r="E4" s="107">
        <v>19300.0</v>
      </c>
      <c r="F4" s="107">
        <v>4110.0</v>
      </c>
      <c r="G4" s="107">
        <v>900.0</v>
      </c>
      <c r="H4" s="108">
        <f t="shared" si="1"/>
        <v>5010</v>
      </c>
      <c r="I4" s="109">
        <f t="shared" si="2"/>
        <v>0.2595854922</v>
      </c>
      <c r="K4" s="45" t="s">
        <v>182</v>
      </c>
      <c r="L4" s="110">
        <v>16000.0</v>
      </c>
    </row>
    <row r="5" ht="22.5" customHeight="1">
      <c r="A5" s="111" t="s">
        <v>179</v>
      </c>
      <c r="B5" s="112" t="s">
        <v>32</v>
      </c>
      <c r="C5" s="113" t="s">
        <v>176</v>
      </c>
      <c r="D5" s="114" t="s">
        <v>180</v>
      </c>
      <c r="E5" s="115">
        <v>19300.0</v>
      </c>
      <c r="F5" s="115">
        <v>6803.0</v>
      </c>
      <c r="G5" s="116"/>
      <c r="H5" s="116">
        <f t="shared" si="1"/>
        <v>6803</v>
      </c>
      <c r="I5" s="117">
        <f t="shared" si="2"/>
        <v>0.3524870466</v>
      </c>
      <c r="K5" s="45" t="s">
        <v>183</v>
      </c>
      <c r="L5" s="110">
        <v>28000.0</v>
      </c>
    </row>
    <row r="6" ht="22.5" customHeight="1">
      <c r="A6" s="104"/>
      <c r="B6" s="105" t="s">
        <v>5</v>
      </c>
      <c r="C6" s="106" t="s">
        <v>176</v>
      </c>
      <c r="D6" s="106" t="s">
        <v>177</v>
      </c>
      <c r="E6" s="107">
        <v>19300.0</v>
      </c>
      <c r="F6" s="107">
        <v>4367.0</v>
      </c>
      <c r="G6" s="107">
        <v>900.0</v>
      </c>
      <c r="H6" s="108">
        <f t="shared" si="1"/>
        <v>5267</v>
      </c>
      <c r="I6" s="109">
        <f t="shared" si="2"/>
        <v>0.2729015544</v>
      </c>
      <c r="K6" s="45" t="s">
        <v>184</v>
      </c>
      <c r="L6" s="110">
        <v>17500.0</v>
      </c>
    </row>
    <row r="7" ht="22.5" customHeight="1">
      <c r="A7" s="111" t="s">
        <v>179</v>
      </c>
      <c r="B7" s="112" t="s">
        <v>5</v>
      </c>
      <c r="C7" s="113" t="s">
        <v>176</v>
      </c>
      <c r="D7" s="114" t="s">
        <v>180</v>
      </c>
      <c r="E7" s="115">
        <v>19300.0</v>
      </c>
      <c r="F7" s="115">
        <v>5345.0</v>
      </c>
      <c r="G7" s="116"/>
      <c r="H7" s="116">
        <f t="shared" si="1"/>
        <v>5345</v>
      </c>
      <c r="I7" s="117">
        <f t="shared" si="2"/>
        <v>0.2769430052</v>
      </c>
      <c r="K7" s="45" t="s">
        <v>185</v>
      </c>
      <c r="L7" s="110">
        <v>22000.0</v>
      </c>
    </row>
    <row r="8" ht="22.5" customHeight="1">
      <c r="A8" s="104"/>
      <c r="B8" s="105" t="s">
        <v>186</v>
      </c>
      <c r="C8" s="106" t="s">
        <v>176</v>
      </c>
      <c r="D8" s="106" t="s">
        <v>177</v>
      </c>
      <c r="E8" s="107">
        <v>19300.0</v>
      </c>
      <c r="F8" s="107">
        <v>4982.0</v>
      </c>
      <c r="G8" s="107">
        <v>900.0</v>
      </c>
      <c r="H8" s="108">
        <f t="shared" si="1"/>
        <v>5882</v>
      </c>
      <c r="I8" s="109">
        <f t="shared" si="2"/>
        <v>0.3047668394</v>
      </c>
      <c r="K8" s="45" t="s">
        <v>187</v>
      </c>
      <c r="L8" s="110">
        <v>19500.0</v>
      </c>
    </row>
    <row r="9" ht="22.5" customHeight="1">
      <c r="A9" s="111" t="s">
        <v>179</v>
      </c>
      <c r="B9" s="118" t="s">
        <v>62</v>
      </c>
      <c r="C9" s="113" t="s">
        <v>176</v>
      </c>
      <c r="D9" s="114" t="s">
        <v>180</v>
      </c>
      <c r="E9" s="115">
        <v>19300.0</v>
      </c>
      <c r="F9" s="115">
        <v>5345.0</v>
      </c>
      <c r="G9" s="116"/>
      <c r="H9" s="116">
        <f t="shared" si="1"/>
        <v>5345</v>
      </c>
      <c r="I9" s="117">
        <f t="shared" si="2"/>
        <v>0.2769430052</v>
      </c>
      <c r="K9" s="45" t="s">
        <v>188</v>
      </c>
      <c r="L9" s="110">
        <v>22000.0</v>
      </c>
    </row>
    <row r="10" ht="22.5" customHeight="1">
      <c r="A10" s="104"/>
      <c r="B10" s="105" t="s">
        <v>6</v>
      </c>
      <c r="C10" s="106" t="s">
        <v>176</v>
      </c>
      <c r="D10" s="106" t="s">
        <v>177</v>
      </c>
      <c r="E10" s="107">
        <v>19300.0</v>
      </c>
      <c r="F10" s="107">
        <v>3858.0</v>
      </c>
      <c r="G10" s="107">
        <v>900.0</v>
      </c>
      <c r="H10" s="108">
        <f t="shared" si="1"/>
        <v>4758</v>
      </c>
      <c r="I10" s="109">
        <f t="shared" si="2"/>
        <v>0.2465284974</v>
      </c>
      <c r="K10" s="45" t="s">
        <v>189</v>
      </c>
      <c r="L10" s="110">
        <v>15100.0</v>
      </c>
    </row>
    <row r="11" ht="22.5" customHeight="1">
      <c r="A11" s="111" t="s">
        <v>179</v>
      </c>
      <c r="B11" s="112" t="s">
        <v>6</v>
      </c>
      <c r="C11" s="113" t="s">
        <v>176</v>
      </c>
      <c r="D11" s="114" t="s">
        <v>180</v>
      </c>
      <c r="E11" s="115">
        <v>19300.0</v>
      </c>
      <c r="F11" s="115">
        <v>4713.0</v>
      </c>
      <c r="G11" s="116"/>
      <c r="H11" s="116">
        <f t="shared" si="1"/>
        <v>4713</v>
      </c>
      <c r="I11" s="117">
        <f t="shared" si="2"/>
        <v>0.2441968912</v>
      </c>
      <c r="K11" s="45" t="s">
        <v>190</v>
      </c>
      <c r="L11" s="110">
        <v>19400.0</v>
      </c>
    </row>
    <row r="13">
      <c r="A13" s="59"/>
      <c r="B13" s="59" t="s">
        <v>191</v>
      </c>
    </row>
    <row r="14">
      <c r="A14" s="59"/>
    </row>
    <row r="15" ht="23.25" customHeight="1">
      <c r="A15" s="59"/>
      <c r="B15" s="59" t="s">
        <v>192</v>
      </c>
    </row>
  </sheetData>
  <mergeCells count="2">
    <mergeCell ref="B13:I14"/>
    <mergeCell ref="B15:I15"/>
  </mergeCells>
  <dataValidations>
    <dataValidation type="custom" allowBlank="1" showDropDown="1" sqref="L2:L11">
      <formula1>AND(ISNUMBER(L2),(NOT(OR(NOT(ISERROR(DATEVALUE(L2))), AND(ISNUMBER(L2), LEFT(CELL("format", L2))="D")))))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14.38"/>
    <col customWidth="1" min="6" max="6" width="15.88"/>
    <col customWidth="1" min="8" max="8" width="15.13"/>
  </cols>
  <sheetData>
    <row r="1">
      <c r="A1" s="38"/>
      <c r="B1" s="38"/>
      <c r="C1" s="38"/>
      <c r="D1" s="38"/>
      <c r="E1" s="38"/>
      <c r="F1" s="38"/>
      <c r="G1" s="38"/>
      <c r="H1" s="38"/>
    </row>
    <row r="2">
      <c r="A2" s="38"/>
      <c r="B2" s="119" t="s">
        <v>193</v>
      </c>
      <c r="C2" s="120"/>
      <c r="D2" s="38"/>
      <c r="E2" s="38"/>
      <c r="F2" s="38"/>
      <c r="G2" s="38"/>
      <c r="H2" s="38"/>
    </row>
    <row r="3">
      <c r="A3" s="38"/>
      <c r="B3" s="121" t="s">
        <v>194</v>
      </c>
      <c r="C3" s="121" t="s">
        <v>195</v>
      </c>
      <c r="D3" s="122" t="s">
        <v>196</v>
      </c>
      <c r="E3" s="122" t="s">
        <v>197</v>
      </c>
      <c r="F3" s="123" t="s">
        <v>198</v>
      </c>
      <c r="G3" s="123" t="s">
        <v>199</v>
      </c>
      <c r="H3" s="123" t="s">
        <v>200</v>
      </c>
    </row>
    <row r="4">
      <c r="A4" s="38"/>
      <c r="B4" s="124">
        <v>1.0</v>
      </c>
      <c r="C4" s="125" t="s">
        <v>201</v>
      </c>
      <c r="D4" s="124">
        <v>14500.0</v>
      </c>
      <c r="E4" s="124">
        <v>16000.0</v>
      </c>
      <c r="F4" s="124">
        <v>17500.0</v>
      </c>
      <c r="G4" s="124">
        <v>19500.0</v>
      </c>
      <c r="H4" s="124">
        <v>15100.0</v>
      </c>
    </row>
    <row r="5">
      <c r="A5" s="38"/>
      <c r="B5" s="124">
        <v>2.0</v>
      </c>
      <c r="C5" s="126" t="s">
        <v>202</v>
      </c>
      <c r="D5" s="127">
        <f t="shared" ref="D5:H5" si="1">4500</f>
        <v>4500</v>
      </c>
      <c r="E5" s="127">
        <f t="shared" si="1"/>
        <v>4500</v>
      </c>
      <c r="F5" s="127">
        <f t="shared" si="1"/>
        <v>4500</v>
      </c>
      <c r="G5" s="127">
        <f t="shared" si="1"/>
        <v>4500</v>
      </c>
      <c r="H5" s="127">
        <f t="shared" si="1"/>
        <v>4500</v>
      </c>
    </row>
    <row r="6">
      <c r="A6" s="38"/>
      <c r="B6" s="124">
        <v>3.0</v>
      </c>
      <c r="C6" s="128" t="s">
        <v>203</v>
      </c>
      <c r="D6" s="129">
        <v>25148.741570208007</v>
      </c>
      <c r="E6" s="129">
        <v>26326.603996506907</v>
      </c>
      <c r="F6" s="129">
        <v>27446.821782795832</v>
      </c>
      <c r="G6" s="129">
        <v>30657.214025675414</v>
      </c>
      <c r="H6" s="130">
        <v>25036.72478763492</v>
      </c>
    </row>
    <row r="7">
      <c r="A7" s="38"/>
      <c r="B7" s="124">
        <v>4.0</v>
      </c>
      <c r="C7" s="131" t="s">
        <v>204</v>
      </c>
      <c r="D7" s="132" t="str">
        <f>M12</f>
        <v/>
      </c>
      <c r="E7" s="132" t="str">
        <f>M12</f>
        <v/>
      </c>
      <c r="F7" s="132" t="str">
        <f>M12</f>
        <v/>
      </c>
      <c r="G7" s="132" t="str">
        <f>M12</f>
        <v/>
      </c>
      <c r="H7" s="132" t="str">
        <f>M12</f>
        <v/>
      </c>
    </row>
    <row r="8">
      <c r="A8" s="38"/>
      <c r="B8" s="124">
        <v>5.0</v>
      </c>
      <c r="C8" s="133" t="s">
        <v>205</v>
      </c>
      <c r="D8" s="127">
        <v>0.0</v>
      </c>
      <c r="E8" s="127">
        <v>0.0</v>
      </c>
      <c r="F8" s="127">
        <v>0.0</v>
      </c>
      <c r="G8" s="127">
        <v>0.0</v>
      </c>
      <c r="H8" s="127">
        <v>0.0</v>
      </c>
    </row>
    <row r="9">
      <c r="A9" s="134" t="s">
        <v>206</v>
      </c>
      <c r="B9" s="124">
        <v>6.0</v>
      </c>
      <c r="C9" s="135" t="s">
        <v>207</v>
      </c>
      <c r="D9" s="136">
        <f t="shared" ref="D9:H9" si="2">SUM(D10:D14)</f>
        <v>2324</v>
      </c>
      <c r="E9" s="136">
        <f t="shared" si="2"/>
        <v>2324</v>
      </c>
      <c r="F9" s="136">
        <f t="shared" si="2"/>
        <v>2324</v>
      </c>
      <c r="G9" s="136">
        <f t="shared" si="2"/>
        <v>2324</v>
      </c>
      <c r="H9" s="136">
        <f t="shared" si="2"/>
        <v>2324</v>
      </c>
    </row>
    <row r="10">
      <c r="A10" s="137"/>
      <c r="B10" s="124">
        <v>7.0</v>
      </c>
      <c r="C10" s="138" t="s">
        <v>208</v>
      </c>
      <c r="D10" s="132">
        <v>2000.0</v>
      </c>
      <c r="E10" s="132">
        <v>2000.0</v>
      </c>
      <c r="F10" s="132">
        <v>2000.0</v>
      </c>
      <c r="G10" s="132">
        <v>2000.0</v>
      </c>
      <c r="H10" s="132">
        <v>2000.0</v>
      </c>
    </row>
    <row r="11">
      <c r="A11" s="137"/>
      <c r="B11" s="124">
        <v>8.0</v>
      </c>
      <c r="C11" s="139" t="s">
        <v>209</v>
      </c>
      <c r="D11" s="124">
        <v>173.0</v>
      </c>
      <c r="E11" s="124">
        <v>173.0</v>
      </c>
      <c r="F11" s="124">
        <v>173.0</v>
      </c>
      <c r="G11" s="124">
        <v>173.0</v>
      </c>
      <c r="H11" s="124">
        <v>173.0</v>
      </c>
    </row>
    <row r="12">
      <c r="A12" s="137"/>
      <c r="B12" s="124">
        <v>9.0</v>
      </c>
      <c r="C12" s="139" t="s">
        <v>210</v>
      </c>
      <c r="D12" s="124">
        <v>100.0</v>
      </c>
      <c r="E12" s="124">
        <v>100.0</v>
      </c>
      <c r="F12" s="124">
        <v>100.0</v>
      </c>
      <c r="G12" s="124">
        <v>100.0</v>
      </c>
      <c r="H12" s="124">
        <v>100.0</v>
      </c>
    </row>
    <row r="13">
      <c r="A13" s="137"/>
      <c r="B13" s="124">
        <v>10.0</v>
      </c>
      <c r="C13" s="139" t="s">
        <v>211</v>
      </c>
      <c r="D13" s="124">
        <v>25.0</v>
      </c>
      <c r="E13" s="124">
        <v>25.0</v>
      </c>
      <c r="F13" s="124">
        <v>25.0</v>
      </c>
      <c r="G13" s="124">
        <v>25.0</v>
      </c>
      <c r="H13" s="124">
        <v>25.0</v>
      </c>
    </row>
    <row r="14">
      <c r="A14" s="137"/>
      <c r="B14" s="124">
        <v>11.0</v>
      </c>
      <c r="C14" s="140" t="s">
        <v>212</v>
      </c>
      <c r="D14" s="124">
        <v>26.0</v>
      </c>
      <c r="E14" s="124">
        <v>26.0</v>
      </c>
      <c r="F14" s="124">
        <v>26.0</v>
      </c>
      <c r="G14" s="124">
        <v>26.0</v>
      </c>
      <c r="H14" s="124">
        <v>26.0</v>
      </c>
    </row>
    <row r="15">
      <c r="A15" s="141" t="s">
        <v>213</v>
      </c>
      <c r="B15" s="124">
        <v>12.0</v>
      </c>
      <c r="C15" s="135" t="s">
        <v>214</v>
      </c>
      <c r="D15" s="136">
        <v>652.0</v>
      </c>
      <c r="E15" s="136">
        <v>652.0</v>
      </c>
      <c r="F15" s="136">
        <v>652.0</v>
      </c>
      <c r="G15" s="136">
        <v>652.0</v>
      </c>
      <c r="H15" s="136">
        <v>652.0</v>
      </c>
    </row>
    <row r="16">
      <c r="A16" s="38"/>
      <c r="B16" s="124">
        <v>13.0</v>
      </c>
      <c r="C16" s="142"/>
      <c r="D16" s="142"/>
      <c r="E16" s="142"/>
      <c r="F16" s="142"/>
      <c r="G16" s="142"/>
      <c r="H16" s="142"/>
    </row>
    <row r="17">
      <c r="A17" s="141" t="s">
        <v>215</v>
      </c>
      <c r="B17" s="124">
        <v>14.0</v>
      </c>
      <c r="C17" s="143" t="s">
        <v>216</v>
      </c>
      <c r="D17" s="144">
        <f t="shared" ref="D17:H17" si="3">D6*0.075</f>
        <v>1886.155618</v>
      </c>
      <c r="E17" s="144">
        <f t="shared" si="3"/>
        <v>1974.4953</v>
      </c>
      <c r="F17" s="144">
        <f t="shared" si="3"/>
        <v>2058.511634</v>
      </c>
      <c r="G17" s="144">
        <f t="shared" si="3"/>
        <v>2299.291052</v>
      </c>
      <c r="H17" s="144">
        <f t="shared" si="3"/>
        <v>1877.754359</v>
      </c>
    </row>
    <row r="18">
      <c r="B18" s="145"/>
      <c r="C18" s="143" t="s">
        <v>217</v>
      </c>
      <c r="D18" s="144">
        <v>198.0</v>
      </c>
      <c r="E18" s="144">
        <v>198.0</v>
      </c>
      <c r="F18" s="144">
        <v>198.0</v>
      </c>
      <c r="G18" s="144">
        <v>198.0</v>
      </c>
      <c r="H18" s="146">
        <v>198.0</v>
      </c>
    </row>
    <row r="19">
      <c r="B19" s="124">
        <v>15.0</v>
      </c>
      <c r="C19" s="147" t="s">
        <v>218</v>
      </c>
      <c r="D19" s="124">
        <v>957.0</v>
      </c>
      <c r="E19" s="124">
        <v>957.0</v>
      </c>
      <c r="F19" s="124">
        <v>957.0</v>
      </c>
      <c r="G19" s="124">
        <v>957.0</v>
      </c>
      <c r="H19" s="148">
        <v>957.0</v>
      </c>
    </row>
    <row r="20">
      <c r="B20" s="124">
        <v>16.0</v>
      </c>
      <c r="C20" s="149" t="s">
        <v>219</v>
      </c>
      <c r="D20" s="127">
        <v>275.0</v>
      </c>
      <c r="E20" s="127">
        <v>275.0</v>
      </c>
      <c r="F20" s="127">
        <v>275.0</v>
      </c>
      <c r="G20" s="127">
        <v>275.0</v>
      </c>
      <c r="H20" s="150">
        <v>275.0</v>
      </c>
    </row>
    <row r="21">
      <c r="B21" s="124">
        <v>19.0</v>
      </c>
      <c r="C21" s="151" t="s">
        <v>220</v>
      </c>
      <c r="D21" s="152">
        <f t="shared" ref="D21:H21" si="4">SUM(D17:D20)</f>
        <v>3316.155618</v>
      </c>
      <c r="E21" s="152">
        <f t="shared" si="4"/>
        <v>3404.4953</v>
      </c>
      <c r="F21" s="152">
        <f t="shared" si="4"/>
        <v>3488.511634</v>
      </c>
      <c r="G21" s="152">
        <f t="shared" si="4"/>
        <v>3729.291052</v>
      </c>
      <c r="H21" s="153">
        <f t="shared" si="4"/>
        <v>3307.754359</v>
      </c>
    </row>
    <row r="22">
      <c r="A22" s="38"/>
      <c r="B22" s="124">
        <v>20.0</v>
      </c>
      <c r="C22" s="154"/>
      <c r="D22" s="155"/>
      <c r="E22" s="155"/>
      <c r="F22" s="155"/>
      <c r="G22" s="155"/>
      <c r="H22" s="156"/>
    </row>
    <row r="23">
      <c r="A23" s="157" t="s">
        <v>221</v>
      </c>
      <c r="B23" s="124">
        <v>21.0</v>
      </c>
      <c r="C23" s="143" t="s">
        <v>217</v>
      </c>
      <c r="D23" s="144">
        <v>198.0</v>
      </c>
      <c r="E23" s="144">
        <v>198.0</v>
      </c>
      <c r="F23" s="144">
        <v>198.0</v>
      </c>
      <c r="G23" s="144">
        <v>198.0</v>
      </c>
      <c r="H23" s="158" t="s">
        <v>222</v>
      </c>
    </row>
    <row r="24">
      <c r="A24" s="137"/>
      <c r="B24" s="124">
        <v>22.0</v>
      </c>
      <c r="C24" s="147" t="s">
        <v>218</v>
      </c>
      <c r="D24" s="124">
        <v>957.0</v>
      </c>
      <c r="E24" s="124">
        <v>957.0</v>
      </c>
      <c r="F24" s="124">
        <v>957.0</v>
      </c>
      <c r="G24" s="124">
        <v>957.0</v>
      </c>
      <c r="H24" s="159"/>
    </row>
    <row r="25">
      <c r="A25" s="137"/>
      <c r="B25" s="124">
        <v>23.0</v>
      </c>
      <c r="C25" s="149" t="s">
        <v>219</v>
      </c>
      <c r="D25" s="127">
        <v>275.0</v>
      </c>
      <c r="E25" s="127">
        <v>275.0</v>
      </c>
      <c r="F25" s="127">
        <v>275.0</v>
      </c>
      <c r="G25" s="127">
        <v>275.0</v>
      </c>
      <c r="H25" s="159"/>
    </row>
    <row r="26">
      <c r="A26" s="137"/>
      <c r="B26" s="124">
        <v>24.0</v>
      </c>
      <c r="C26" s="149" t="s">
        <v>223</v>
      </c>
      <c r="D26" s="127">
        <v>1600.0</v>
      </c>
      <c r="E26" s="127">
        <v>1600.0</v>
      </c>
      <c r="F26" s="127">
        <v>1600.0</v>
      </c>
      <c r="G26" s="127">
        <v>1600.0</v>
      </c>
      <c r="H26" s="159"/>
    </row>
    <row r="27">
      <c r="A27" s="137"/>
      <c r="B27" s="124">
        <v>25.0</v>
      </c>
      <c r="C27" s="149" t="s">
        <v>224</v>
      </c>
      <c r="D27" s="127">
        <v>1600.0</v>
      </c>
      <c r="E27" s="127">
        <v>1600.0</v>
      </c>
      <c r="F27" s="127">
        <v>1600.0</v>
      </c>
      <c r="G27" s="127">
        <v>1600.0</v>
      </c>
      <c r="H27" s="160"/>
    </row>
    <row r="28">
      <c r="A28" s="137"/>
      <c r="B28" s="124">
        <v>26.0</v>
      </c>
      <c r="C28" s="151" t="s">
        <v>220</v>
      </c>
      <c r="D28" s="152">
        <v>4630.0</v>
      </c>
      <c r="E28" s="161">
        <v>4630.0</v>
      </c>
      <c r="F28" s="152">
        <v>4630.0</v>
      </c>
      <c r="G28" s="152">
        <v>4630.0</v>
      </c>
      <c r="H28" s="162">
        <f>D28+E28+F28+G28</f>
        <v>18520</v>
      </c>
    </row>
    <row r="29">
      <c r="A29" s="38"/>
      <c r="B29" s="163"/>
      <c r="C29" s="164"/>
      <c r="D29" s="155"/>
      <c r="E29" s="164"/>
      <c r="F29" s="155"/>
      <c r="G29" s="155"/>
      <c r="H29" s="165"/>
    </row>
    <row r="30">
      <c r="A30" s="134" t="s">
        <v>225</v>
      </c>
      <c r="B30" s="124">
        <v>20.0</v>
      </c>
      <c r="C30" s="166" t="s">
        <v>226</v>
      </c>
      <c r="D30" s="167">
        <v>760.0</v>
      </c>
      <c r="E30" s="167">
        <v>760.0</v>
      </c>
      <c r="F30" s="167">
        <v>760.0</v>
      </c>
      <c r="G30" s="167">
        <v>760.0</v>
      </c>
      <c r="H30" s="168">
        <v>760.0</v>
      </c>
    </row>
    <row r="31">
      <c r="A31" s="137"/>
      <c r="B31" s="124">
        <v>21.0</v>
      </c>
      <c r="C31" s="169" t="s">
        <v>227</v>
      </c>
      <c r="D31" s="145"/>
      <c r="E31" s="145"/>
      <c r="F31" s="145"/>
      <c r="G31" s="145"/>
      <c r="H31" s="170"/>
    </row>
    <row r="32">
      <c r="A32" s="137"/>
      <c r="B32" s="124">
        <v>22.0</v>
      </c>
      <c r="C32" s="171" t="s">
        <v>220</v>
      </c>
      <c r="D32" s="136">
        <f t="shared" ref="D32:H32" si="5">SUM(D30:D31)</f>
        <v>760</v>
      </c>
      <c r="E32" s="136">
        <f t="shared" si="5"/>
        <v>760</v>
      </c>
      <c r="F32" s="136">
        <f t="shared" si="5"/>
        <v>760</v>
      </c>
      <c r="G32" s="136">
        <f t="shared" si="5"/>
        <v>760</v>
      </c>
      <c r="H32" s="172">
        <f t="shared" si="5"/>
        <v>760</v>
      </c>
    </row>
    <row r="33">
      <c r="A33" s="137"/>
      <c r="B33" s="124">
        <v>23.0</v>
      </c>
      <c r="C33" s="173" t="s">
        <v>228</v>
      </c>
      <c r="D33" s="124">
        <v>720.0</v>
      </c>
      <c r="E33" s="124">
        <v>720.0</v>
      </c>
      <c r="F33" s="124">
        <v>720.0</v>
      </c>
      <c r="G33" s="124">
        <v>720.0</v>
      </c>
      <c r="H33" s="174">
        <v>720.0</v>
      </c>
    </row>
    <row r="34">
      <c r="A34" s="137"/>
      <c r="B34" s="124">
        <v>24.0</v>
      </c>
      <c r="C34" s="169" t="s">
        <v>229</v>
      </c>
      <c r="D34" s="145"/>
      <c r="E34" s="145"/>
      <c r="F34" s="145"/>
      <c r="G34" s="145"/>
      <c r="H34" s="170"/>
    </row>
    <row r="35">
      <c r="A35" s="137"/>
      <c r="B35" s="124">
        <v>25.0</v>
      </c>
      <c r="C35" s="171" t="s">
        <v>220</v>
      </c>
      <c r="D35" s="136">
        <f t="shared" ref="D35:H35" si="6">SUM(D33:D34)</f>
        <v>720</v>
      </c>
      <c r="E35" s="136">
        <f t="shared" si="6"/>
        <v>720</v>
      </c>
      <c r="F35" s="136">
        <f t="shared" si="6"/>
        <v>720</v>
      </c>
      <c r="G35" s="136">
        <f t="shared" si="6"/>
        <v>720</v>
      </c>
      <c r="H35" s="172">
        <f t="shared" si="6"/>
        <v>720</v>
      </c>
    </row>
    <row r="36">
      <c r="A36" s="137"/>
      <c r="B36" s="124">
        <v>26.0</v>
      </c>
      <c r="C36" s="173" t="s">
        <v>230</v>
      </c>
      <c r="D36" s="124">
        <v>814.0</v>
      </c>
      <c r="E36" s="124">
        <v>814.0</v>
      </c>
      <c r="F36" s="124">
        <v>814.0</v>
      </c>
      <c r="G36" s="124">
        <v>814.0</v>
      </c>
      <c r="H36" s="174">
        <v>814.0</v>
      </c>
    </row>
    <row r="37">
      <c r="A37" s="137"/>
      <c r="B37" s="124">
        <v>27.0</v>
      </c>
      <c r="C37" s="169" t="s">
        <v>229</v>
      </c>
      <c r="D37" s="124">
        <v>88.0</v>
      </c>
      <c r="E37" s="124">
        <v>88.0</v>
      </c>
      <c r="F37" s="124">
        <v>88.0</v>
      </c>
      <c r="G37" s="124">
        <v>88.0</v>
      </c>
      <c r="H37" s="174">
        <v>88.0</v>
      </c>
    </row>
    <row r="38">
      <c r="A38" s="137"/>
      <c r="B38" s="124">
        <v>28.0</v>
      </c>
      <c r="C38" s="171" t="s">
        <v>220</v>
      </c>
      <c r="D38" s="136">
        <f t="shared" ref="D38:H38" si="7">SUM(D36:D37)</f>
        <v>902</v>
      </c>
      <c r="E38" s="136">
        <f t="shared" si="7"/>
        <v>902</v>
      </c>
      <c r="F38" s="136">
        <f t="shared" si="7"/>
        <v>902</v>
      </c>
      <c r="G38" s="136">
        <f t="shared" si="7"/>
        <v>902</v>
      </c>
      <c r="H38" s="172">
        <f t="shared" si="7"/>
        <v>902</v>
      </c>
    </row>
    <row r="39">
      <c r="A39" s="137"/>
      <c r="B39" s="124">
        <v>29.0</v>
      </c>
      <c r="C39" s="169" t="s">
        <v>231</v>
      </c>
      <c r="D39" s="124">
        <v>870.0</v>
      </c>
      <c r="E39" s="124">
        <v>870.0</v>
      </c>
      <c r="F39" s="124">
        <v>870.0</v>
      </c>
      <c r="G39" s="124">
        <v>870.0</v>
      </c>
      <c r="H39" s="174">
        <v>870.0</v>
      </c>
    </row>
    <row r="40">
      <c r="A40" s="137"/>
      <c r="B40" s="124">
        <v>30.0</v>
      </c>
      <c r="C40" s="169" t="s">
        <v>232</v>
      </c>
      <c r="D40" s="145"/>
      <c r="E40" s="145"/>
      <c r="F40" s="145"/>
      <c r="G40" s="145"/>
      <c r="H40" s="170"/>
    </row>
    <row r="41">
      <c r="A41" s="137"/>
      <c r="B41" s="124">
        <v>31.0</v>
      </c>
      <c r="C41" s="171" t="s">
        <v>220</v>
      </c>
      <c r="D41" s="136">
        <f t="shared" ref="D41:H41" si="8">SUM(D39:D40)</f>
        <v>870</v>
      </c>
      <c r="E41" s="136">
        <f t="shared" si="8"/>
        <v>870</v>
      </c>
      <c r="F41" s="136">
        <f t="shared" si="8"/>
        <v>870</v>
      </c>
      <c r="G41" s="136">
        <f t="shared" si="8"/>
        <v>870</v>
      </c>
      <c r="H41" s="172">
        <f t="shared" si="8"/>
        <v>870</v>
      </c>
    </row>
    <row r="42">
      <c r="A42" s="137"/>
      <c r="B42" s="124">
        <v>32.0</v>
      </c>
      <c r="C42" s="173" t="s">
        <v>233</v>
      </c>
      <c r="D42" s="124">
        <v>810.0</v>
      </c>
      <c r="E42" s="124">
        <v>810.0</v>
      </c>
      <c r="F42" s="124">
        <v>810.0</v>
      </c>
      <c r="G42" s="124">
        <v>810.0</v>
      </c>
      <c r="H42" s="174">
        <v>810.0</v>
      </c>
    </row>
    <row r="43">
      <c r="A43" s="137"/>
      <c r="B43" s="124">
        <v>33.0</v>
      </c>
      <c r="C43" s="169" t="s">
        <v>232</v>
      </c>
      <c r="D43" s="145"/>
      <c r="E43" s="145"/>
      <c r="F43" s="145"/>
      <c r="G43" s="145"/>
      <c r="H43" s="170"/>
    </row>
    <row r="44">
      <c r="A44" s="137"/>
      <c r="B44" s="124">
        <v>34.0</v>
      </c>
      <c r="C44" s="175" t="s">
        <v>220</v>
      </c>
      <c r="D44" s="176">
        <f t="shared" ref="D44:H44" si="9">SUM(D42:D43)</f>
        <v>810</v>
      </c>
      <c r="E44" s="176">
        <f t="shared" si="9"/>
        <v>810</v>
      </c>
      <c r="F44" s="176">
        <f t="shared" si="9"/>
        <v>810</v>
      </c>
      <c r="G44" s="176">
        <f t="shared" si="9"/>
        <v>810</v>
      </c>
      <c r="H44" s="177">
        <f t="shared" si="9"/>
        <v>810</v>
      </c>
    </row>
    <row r="45">
      <c r="A45" s="38"/>
      <c r="B45" s="145"/>
      <c r="C45" s="178"/>
      <c r="D45" s="178"/>
      <c r="E45" s="178"/>
      <c r="F45" s="178"/>
      <c r="G45" s="178"/>
      <c r="H45" s="178"/>
    </row>
    <row r="46">
      <c r="A46" s="38"/>
      <c r="B46" s="145"/>
      <c r="C46" s="139" t="s">
        <v>234</v>
      </c>
      <c r="D46" s="145"/>
      <c r="E46" s="145"/>
      <c r="F46" s="145"/>
      <c r="G46" s="145"/>
      <c r="H46" s="145"/>
    </row>
    <row r="47">
      <c r="A47" s="38"/>
      <c r="B47" s="145"/>
      <c r="C47" s="145"/>
      <c r="D47" s="145"/>
      <c r="E47" s="145"/>
      <c r="F47" s="145"/>
      <c r="G47" s="145"/>
      <c r="H47" s="145"/>
    </row>
    <row r="48">
      <c r="A48" s="38"/>
      <c r="B48" s="145"/>
      <c r="C48" s="38"/>
      <c r="D48" s="145"/>
      <c r="E48" s="145"/>
      <c r="F48" s="145"/>
      <c r="G48" s="145"/>
      <c r="H48" s="145"/>
    </row>
    <row r="49">
      <c r="A49" s="38"/>
      <c r="B49" s="145"/>
      <c r="C49" s="145"/>
      <c r="D49" s="145"/>
      <c r="E49" s="145"/>
      <c r="F49" s="145"/>
      <c r="G49" s="145"/>
      <c r="H49" s="145"/>
    </row>
    <row r="50">
      <c r="A50" s="38"/>
      <c r="B50" s="145"/>
      <c r="C50" s="145"/>
      <c r="D50" s="145"/>
      <c r="E50" s="145"/>
      <c r="F50" s="145"/>
      <c r="G50" s="145"/>
      <c r="H50" s="145"/>
    </row>
    <row r="51">
      <c r="A51" s="38"/>
      <c r="B51" s="145"/>
      <c r="C51" s="145"/>
      <c r="D51" s="145"/>
      <c r="E51" s="145"/>
      <c r="F51" s="145"/>
      <c r="G51" s="145"/>
      <c r="H51" s="145"/>
    </row>
    <row r="52">
      <c r="A52" s="38"/>
      <c r="B52" s="145"/>
      <c r="C52" s="145"/>
      <c r="D52" s="145"/>
      <c r="E52" s="145"/>
      <c r="F52" s="145"/>
      <c r="G52" s="145"/>
      <c r="H52" s="145"/>
    </row>
    <row r="53">
      <c r="A53" s="38"/>
      <c r="B53" s="145"/>
      <c r="C53" s="179" t="s">
        <v>235</v>
      </c>
      <c r="D53" s="124">
        <f t="shared" ref="D53:H53" si="10">SUM(D6:D9)</f>
        <v>27472.74157</v>
      </c>
      <c r="E53" s="124">
        <f t="shared" si="10"/>
        <v>28650.604</v>
      </c>
      <c r="F53" s="124">
        <f t="shared" si="10"/>
        <v>29770.82178</v>
      </c>
      <c r="G53" s="124">
        <f t="shared" si="10"/>
        <v>32981.21403</v>
      </c>
      <c r="H53" s="124">
        <f t="shared" si="10"/>
        <v>27360.72479</v>
      </c>
    </row>
    <row r="54">
      <c r="A54" s="38"/>
      <c r="B54" s="38"/>
      <c r="C54" s="38"/>
      <c r="D54" s="180" t="s">
        <v>236</v>
      </c>
      <c r="E54" s="180" t="s">
        <v>237</v>
      </c>
      <c r="F54" s="180" t="s">
        <v>238</v>
      </c>
      <c r="G54" s="180" t="s">
        <v>239</v>
      </c>
      <c r="H54" s="180" t="s">
        <v>240</v>
      </c>
    </row>
    <row r="55">
      <c r="A55" s="38"/>
      <c r="B55" s="38"/>
      <c r="C55" s="181" t="s">
        <v>10</v>
      </c>
      <c r="D55" s="182">
        <v>9800.0</v>
      </c>
      <c r="E55" s="182">
        <v>10200.0</v>
      </c>
      <c r="F55" s="182">
        <v>10200.0</v>
      </c>
      <c r="G55" s="182">
        <v>10200.0</v>
      </c>
      <c r="H55" s="182">
        <v>10200.0</v>
      </c>
    </row>
    <row r="56">
      <c r="A56" s="38"/>
      <c r="B56" s="38"/>
      <c r="C56" s="183" t="s">
        <v>241</v>
      </c>
      <c r="D56" s="184">
        <v>2514.874157020801</v>
      </c>
      <c r="E56" s="124">
        <v>2632.6603996506906</v>
      </c>
      <c r="F56" s="124">
        <v>2744.6821782795832</v>
      </c>
      <c r="G56" s="124">
        <v>3065.721402567541</v>
      </c>
      <c r="H56" s="124">
        <v>2503.672478763492</v>
      </c>
    </row>
    <row r="57">
      <c r="A57" s="38"/>
      <c r="B57" s="38"/>
      <c r="C57" s="183" t="s">
        <v>242</v>
      </c>
      <c r="D57" s="185">
        <v>6095.277034718642</v>
      </c>
      <c r="E57" s="185">
        <v>6213.063277348533</v>
      </c>
      <c r="F57" s="185">
        <v>6325.085055977425</v>
      </c>
      <c r="G57" s="185">
        <v>6646.124280265383</v>
      </c>
      <c r="H57" s="185">
        <v>6084.075356461334</v>
      </c>
    </row>
    <row r="58">
      <c r="A58" s="38"/>
      <c r="B58" s="38"/>
      <c r="C58" s="183" t="s">
        <v>243</v>
      </c>
      <c r="D58" s="124">
        <v>3704.7229652813576</v>
      </c>
      <c r="E58" s="124">
        <v>3986.936722651467</v>
      </c>
      <c r="F58" s="124">
        <v>3874.9149440225747</v>
      </c>
      <c r="G58" s="124">
        <v>3553.8757197346167</v>
      </c>
      <c r="H58" s="124">
        <v>4115.924643538666</v>
      </c>
    </row>
    <row r="59">
      <c r="A59" s="38"/>
      <c r="B59" s="38"/>
      <c r="C59" s="183" t="s">
        <v>14</v>
      </c>
      <c r="D59" s="186">
        <v>0.6219670443590452</v>
      </c>
      <c r="E59" s="186">
        <v>0.6091238507204444</v>
      </c>
      <c r="F59" s="186">
        <v>0.6201063780370025</v>
      </c>
      <c r="G59" s="186">
        <v>0.6515808117907238</v>
      </c>
      <c r="H59" s="186">
        <v>0.5964779761236603</v>
      </c>
    </row>
    <row r="60">
      <c r="A60" s="38"/>
      <c r="B60" s="38"/>
      <c r="C60" s="181" t="s">
        <v>15</v>
      </c>
      <c r="D60" s="182">
        <v>18300.0</v>
      </c>
      <c r="E60" s="182">
        <v>19300.0</v>
      </c>
      <c r="F60" s="182">
        <v>19300.0</v>
      </c>
      <c r="G60" s="182">
        <v>19300.0</v>
      </c>
      <c r="H60" s="182">
        <v>19300.0</v>
      </c>
    </row>
    <row r="61">
      <c r="A61" s="38"/>
      <c r="B61" s="38"/>
      <c r="C61" s="183" t="s">
        <v>241</v>
      </c>
      <c r="D61" s="184">
        <v>5029.748314041602</v>
      </c>
      <c r="E61" s="124">
        <v>5265.320799301381</v>
      </c>
      <c r="F61" s="124">
        <v>5489.3643565591665</v>
      </c>
      <c r="G61" s="124">
        <v>6131.442805135082</v>
      </c>
      <c r="H61" s="124">
        <v>5007.344957526984</v>
      </c>
    </row>
    <row r="62">
      <c r="A62" s="38"/>
      <c r="B62" s="38"/>
      <c r="C62" s="183" t="s">
        <v>242</v>
      </c>
      <c r="D62" s="185">
        <v>9066.554069437285</v>
      </c>
      <c r="E62" s="185">
        <v>9302.126554697064</v>
      </c>
      <c r="F62" s="185">
        <v>9526.170111954849</v>
      </c>
      <c r="G62" s="185">
        <v>10168.248560530767</v>
      </c>
      <c r="H62" s="185">
        <v>9044.150712922667</v>
      </c>
    </row>
    <row r="63">
      <c r="A63" s="38"/>
      <c r="B63" s="38"/>
      <c r="C63" s="183" t="s">
        <v>243</v>
      </c>
      <c r="D63" s="124">
        <v>9233.445930562715</v>
      </c>
      <c r="E63" s="124">
        <v>9997.873445302936</v>
      </c>
      <c r="F63" s="124">
        <v>9773.829888045151</v>
      </c>
      <c r="G63" s="124">
        <v>9131.751439469233</v>
      </c>
      <c r="H63" s="124">
        <v>10255.849287077333</v>
      </c>
    </row>
    <row r="64">
      <c r="A64" s="38"/>
      <c r="B64" s="38"/>
      <c r="C64" s="183" t="s">
        <v>14</v>
      </c>
      <c r="D64" s="186">
        <v>0.49544011308400465</v>
      </c>
      <c r="E64" s="186">
        <v>0.4819754691552883</v>
      </c>
      <c r="F64" s="186">
        <v>0.49358394362460356</v>
      </c>
      <c r="G64" s="186">
        <v>0.5268522570223195</v>
      </c>
      <c r="H64" s="186">
        <v>0.4686088452291537</v>
      </c>
    </row>
    <row r="65">
      <c r="A65" s="38"/>
      <c r="B65" s="38"/>
      <c r="C65" s="187" t="s">
        <v>34</v>
      </c>
      <c r="D65" s="182">
        <v>31900.0</v>
      </c>
      <c r="E65" s="182">
        <v>33900.0</v>
      </c>
      <c r="F65" s="182">
        <v>33900.0</v>
      </c>
      <c r="G65" s="182">
        <v>33900.0</v>
      </c>
      <c r="H65" s="182">
        <v>33900.0</v>
      </c>
    </row>
    <row r="66">
      <c r="A66" s="38"/>
      <c r="B66" s="38"/>
      <c r="C66" s="183" t="s">
        <v>241</v>
      </c>
      <c r="D66" s="124">
        <v>7544.622471062402</v>
      </c>
      <c r="E66" s="124">
        <v>7897.981198952071</v>
      </c>
      <c r="F66" s="124">
        <v>8234.04653483875</v>
      </c>
      <c r="G66" s="124">
        <v>9197.164207702624</v>
      </c>
      <c r="H66" s="124">
        <v>7511.017436290476</v>
      </c>
    </row>
    <row r="67">
      <c r="A67" s="38"/>
      <c r="B67" s="38"/>
      <c r="C67" s="183" t="s">
        <v>242</v>
      </c>
      <c r="D67" s="124">
        <v>12259.831104155926</v>
      </c>
      <c r="E67" s="124">
        <v>12613.189832045597</v>
      </c>
      <c r="F67" s="124">
        <v>12949.255167932275</v>
      </c>
      <c r="G67" s="124">
        <v>13912.37284079615</v>
      </c>
      <c r="H67" s="124">
        <v>12226.226069384002</v>
      </c>
    </row>
    <row r="68">
      <c r="A68" s="38"/>
      <c r="B68" s="38"/>
      <c r="C68" s="183" t="s">
        <v>243</v>
      </c>
      <c r="D68" s="124">
        <v>19640.16889584407</v>
      </c>
      <c r="E68" s="124">
        <v>21286.810167954405</v>
      </c>
      <c r="F68" s="124">
        <v>20950.744832067725</v>
      </c>
      <c r="G68" s="124">
        <v>19987.62715920385</v>
      </c>
      <c r="H68" s="124">
        <v>21673.773930616</v>
      </c>
    </row>
    <row r="69">
      <c r="A69" s="38"/>
      <c r="B69" s="38"/>
      <c r="C69" s="183" t="s">
        <v>14</v>
      </c>
      <c r="D69" s="186">
        <v>0.38432072426821084</v>
      </c>
      <c r="E69" s="186">
        <v>0.3720704965205191</v>
      </c>
      <c r="F69" s="186">
        <v>0.38198392825758926</v>
      </c>
      <c r="G69" s="186">
        <v>0.41039447907953247</v>
      </c>
      <c r="H69" s="186">
        <v>0.3606556362650148</v>
      </c>
    </row>
    <row r="70">
      <c r="A70" s="38"/>
      <c r="B70" s="38"/>
      <c r="C70" s="187" t="s">
        <v>17</v>
      </c>
      <c r="D70" s="182">
        <v>32900.0</v>
      </c>
      <c r="E70" s="182">
        <v>34900.0</v>
      </c>
      <c r="F70" s="182">
        <v>34900.0</v>
      </c>
      <c r="G70" s="182">
        <v>34900.0</v>
      </c>
      <c r="H70" s="182">
        <v>34900.0</v>
      </c>
    </row>
    <row r="71">
      <c r="A71" s="38"/>
      <c r="B71" s="38"/>
      <c r="C71" s="183" t="s">
        <v>241</v>
      </c>
      <c r="D71" s="124">
        <v>8550.572133870723</v>
      </c>
      <c r="E71" s="124">
        <v>8951.045358812347</v>
      </c>
      <c r="F71" s="124">
        <v>9331.919406150582</v>
      </c>
      <c r="G71" s="124">
        <v>10423.45276872964</v>
      </c>
      <c r="H71" s="124">
        <v>8512.486427795873</v>
      </c>
    </row>
    <row r="72">
      <c r="A72" s="38"/>
      <c r="B72" s="38"/>
      <c r="C72" s="183" t="s">
        <v>242</v>
      </c>
      <c r="D72" s="124">
        <v>13432.341918043385</v>
      </c>
      <c r="E72" s="124">
        <v>13832.81514298501</v>
      </c>
      <c r="F72" s="124">
        <v>14213.689190323244</v>
      </c>
      <c r="G72" s="124">
        <v>15305.222552902302</v>
      </c>
      <c r="H72" s="124">
        <v>13394.256211968535</v>
      </c>
    </row>
    <row r="73">
      <c r="A73" s="38"/>
      <c r="B73" s="38"/>
      <c r="C73" s="183" t="s">
        <v>243</v>
      </c>
      <c r="D73" s="124">
        <v>19467.658081956615</v>
      </c>
      <c r="E73" s="124">
        <v>21067.18485701499</v>
      </c>
      <c r="F73" s="124">
        <v>20686.310809676754</v>
      </c>
      <c r="G73" s="124">
        <v>19594.7774470977</v>
      </c>
      <c r="H73" s="124">
        <v>21505.743788031465</v>
      </c>
    </row>
    <row r="74">
      <c r="A74" s="38"/>
      <c r="B74" s="38"/>
      <c r="C74" s="183" t="s">
        <v>14</v>
      </c>
      <c r="D74" s="186">
        <v>0.408277869849343</v>
      </c>
      <c r="E74" s="186">
        <v>0.3963557347560175</v>
      </c>
      <c r="F74" s="186">
        <v>0.4072690312413537</v>
      </c>
      <c r="G74" s="186">
        <v>0.4385450588224155</v>
      </c>
      <c r="H74" s="186">
        <v>0.38378957627417004</v>
      </c>
    </row>
    <row r="75">
      <c r="A75" s="38"/>
      <c r="B75" s="38"/>
      <c r="C75" s="181" t="s">
        <v>18</v>
      </c>
      <c r="D75" s="182">
        <v>33500.0</v>
      </c>
      <c r="E75" s="182">
        <v>36500.0</v>
      </c>
      <c r="F75" s="182">
        <v>36500.0</v>
      </c>
      <c r="G75" s="182">
        <v>36500.0</v>
      </c>
      <c r="H75" s="182">
        <v>36500.0</v>
      </c>
    </row>
    <row r="76">
      <c r="A76" s="38"/>
      <c r="B76" s="38"/>
      <c r="C76" s="183" t="s">
        <v>241</v>
      </c>
      <c r="D76" s="124">
        <v>12574.370785104004</v>
      </c>
      <c r="E76" s="124">
        <v>13163.301998253453</v>
      </c>
      <c r="F76" s="124">
        <v>13723.410891397916</v>
      </c>
      <c r="G76" s="124">
        <v>15328.607012837707</v>
      </c>
      <c r="H76" s="124">
        <v>12518.36239381746</v>
      </c>
    </row>
    <row r="77">
      <c r="A77" s="38"/>
      <c r="B77" s="38"/>
      <c r="C77" s="183" t="s">
        <v>242</v>
      </c>
      <c r="D77" s="185">
        <v>18190.38517359321</v>
      </c>
      <c r="E77" s="185">
        <v>18779.316386742663</v>
      </c>
      <c r="F77" s="185">
        <v>19339.425279887124</v>
      </c>
      <c r="G77" s="185">
        <v>20944.621401326916</v>
      </c>
      <c r="H77" s="185">
        <v>18134.37678230667</v>
      </c>
    </row>
    <row r="78">
      <c r="A78" s="38"/>
      <c r="B78" s="38"/>
      <c r="C78" s="183" t="s">
        <v>243</v>
      </c>
      <c r="D78" s="124">
        <v>15309.614826406789</v>
      </c>
      <c r="E78" s="124">
        <v>17720.683613257337</v>
      </c>
      <c r="F78" s="124">
        <v>17160.574720112876</v>
      </c>
      <c r="G78" s="124">
        <v>15555.378598673084</v>
      </c>
      <c r="H78" s="124">
        <v>18365.62321769333</v>
      </c>
    </row>
    <row r="79">
      <c r="A79" s="38"/>
      <c r="B79" s="38"/>
      <c r="C79" s="183" t="s">
        <v>14</v>
      </c>
      <c r="D79" s="186">
        <v>0.542996572346066</v>
      </c>
      <c r="E79" s="186">
        <v>0.48549818118513255</v>
      </c>
      <c r="F79" s="186">
        <v>0.470152732057887</v>
      </c>
      <c r="G79" s="186">
        <v>0.4261747561280297</v>
      </c>
      <c r="H79" s="186">
        <v>0.5031677593888584</v>
      </c>
    </row>
    <row r="80">
      <c r="A80" s="38"/>
      <c r="B80" s="38"/>
      <c r="C80" s="188" t="s">
        <v>19</v>
      </c>
      <c r="D80" s="182">
        <v>55000.0</v>
      </c>
      <c r="E80" s="182">
        <v>55000.0</v>
      </c>
      <c r="F80" s="182">
        <v>55000.0</v>
      </c>
      <c r="G80" s="182">
        <v>55000.0</v>
      </c>
      <c r="H80" s="182">
        <v>55000.0</v>
      </c>
    </row>
    <row r="81">
      <c r="A81" s="38"/>
      <c r="B81" s="38"/>
      <c r="C81" s="183" t="s">
        <v>241</v>
      </c>
      <c r="D81" s="124">
        <v>25148.741570208007</v>
      </c>
      <c r="E81" s="124">
        <v>26326.603996506907</v>
      </c>
      <c r="F81" s="124">
        <v>27446.821782795832</v>
      </c>
      <c r="G81" s="124">
        <v>30657.214025675414</v>
      </c>
      <c r="H81" s="124">
        <v>25036.72478763492</v>
      </c>
    </row>
    <row r="82">
      <c r="A82" s="38"/>
      <c r="B82" s="38"/>
      <c r="C82" s="183" t="s">
        <v>242</v>
      </c>
      <c r="D82" s="124">
        <v>33246.77034718642</v>
      </c>
      <c r="E82" s="124">
        <v>34424.632773485326</v>
      </c>
      <c r="F82" s="124">
        <v>35544.85055977425</v>
      </c>
      <c r="G82" s="124">
        <v>38755.24280265383</v>
      </c>
      <c r="H82" s="124">
        <v>33134.75356461334</v>
      </c>
    </row>
    <row r="83">
      <c r="A83" s="38"/>
      <c r="B83" s="38"/>
      <c r="C83" s="183" t="s">
        <v>243</v>
      </c>
      <c r="D83" s="124">
        <v>21753.229652813578</v>
      </c>
      <c r="E83" s="124">
        <v>20575.367226514674</v>
      </c>
      <c r="F83" s="124">
        <v>19455.149440225752</v>
      </c>
      <c r="G83" s="124">
        <v>16244.757197346167</v>
      </c>
      <c r="H83" s="124">
        <v>21865.24643538666</v>
      </c>
    </row>
    <row r="84">
      <c r="A84" s="38"/>
      <c r="B84" s="38"/>
      <c r="C84" s="183" t="s">
        <v>14</v>
      </c>
      <c r="D84" s="186">
        <v>0.6044867335852077</v>
      </c>
      <c r="E84" s="186">
        <v>0.6259024140633695</v>
      </c>
      <c r="F84" s="186">
        <v>0.6462700101777136</v>
      </c>
      <c r="G84" s="186">
        <v>0.7046407782300697</v>
      </c>
      <c r="H84" s="186">
        <v>0.6024500648111516</v>
      </c>
    </row>
    <row r="85">
      <c r="A85" s="38"/>
      <c r="B85" s="38"/>
      <c r="C85" s="38"/>
      <c r="D85" s="38"/>
      <c r="E85" s="38"/>
      <c r="F85" s="38"/>
      <c r="G85" s="38"/>
      <c r="H85" s="38"/>
    </row>
    <row r="86">
      <c r="A86" s="38"/>
      <c r="B86" s="38"/>
      <c r="C86" s="38"/>
      <c r="D86" s="38"/>
      <c r="E86" s="38"/>
      <c r="F86" s="38"/>
      <c r="G86" s="38"/>
      <c r="H86" s="38"/>
    </row>
    <row r="87">
      <c r="A87" s="189" t="s">
        <v>215</v>
      </c>
      <c r="B87" s="38"/>
      <c r="C87" s="190" t="s">
        <v>244</v>
      </c>
      <c r="D87" s="182">
        <v>10900.0</v>
      </c>
      <c r="E87" s="182">
        <v>10900.0</v>
      </c>
      <c r="F87" s="182">
        <v>10900.0</v>
      </c>
      <c r="G87" s="182">
        <v>10900.0</v>
      </c>
      <c r="H87" s="182">
        <v>10900.0</v>
      </c>
    </row>
    <row r="88">
      <c r="A88" s="191"/>
      <c r="B88" s="38"/>
      <c r="C88" s="183" t="s">
        <v>242</v>
      </c>
      <c r="D88" s="192">
        <v>5640.1556177656</v>
      </c>
      <c r="E88" s="192">
        <v>5728.495299738018</v>
      </c>
      <c r="F88" s="192">
        <v>5812.511633709688</v>
      </c>
      <c r="G88" s="192">
        <v>6053.291051925657</v>
      </c>
      <c r="H88" s="192">
        <v>5631.754359072619</v>
      </c>
    </row>
    <row r="89">
      <c r="A89" s="191"/>
      <c r="B89" s="38"/>
      <c r="C89" s="193" t="s">
        <v>243</v>
      </c>
      <c r="D89" s="124">
        <v>5259.8443822344</v>
      </c>
      <c r="E89" s="124">
        <v>5171.504700261982</v>
      </c>
      <c r="F89" s="124">
        <v>5087.488366290312</v>
      </c>
      <c r="G89" s="124">
        <v>4846.708948074343</v>
      </c>
      <c r="H89" s="124">
        <v>5268.245640927381</v>
      </c>
    </row>
    <row r="90">
      <c r="A90" s="191"/>
      <c r="B90" s="38"/>
      <c r="C90" s="183" t="s">
        <v>14</v>
      </c>
      <c r="D90" s="194">
        <v>0.5174454695197799</v>
      </c>
      <c r="E90" s="194">
        <v>0.5255500274989007</v>
      </c>
      <c r="F90" s="194">
        <v>0.5332579480467604</v>
      </c>
      <c r="G90" s="194">
        <v>0.5553478029289594</v>
      </c>
      <c r="H90" s="194">
        <v>0.5166747118415247</v>
      </c>
    </row>
    <row r="91">
      <c r="A91" s="195"/>
      <c r="B91" s="38"/>
      <c r="C91" s="38"/>
      <c r="D91" s="38"/>
      <c r="E91" s="38"/>
      <c r="F91" s="38"/>
      <c r="G91" s="38"/>
      <c r="H91" s="38"/>
    </row>
    <row r="92">
      <c r="A92" s="38"/>
      <c r="B92" s="38"/>
      <c r="C92" s="38"/>
      <c r="D92" s="38"/>
      <c r="E92" s="38"/>
      <c r="F92" s="38"/>
      <c r="G92" s="38"/>
      <c r="H92" s="38"/>
    </row>
  </sheetData>
  <mergeCells count="7">
    <mergeCell ref="B2:C2"/>
    <mergeCell ref="A9:A14"/>
    <mergeCell ref="A17:A21"/>
    <mergeCell ref="A23:A28"/>
    <mergeCell ref="H23:H27"/>
    <mergeCell ref="A30:A44"/>
    <mergeCell ref="A87:A9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88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</row>
    <row r="2">
      <c r="A2" s="38"/>
      <c r="B2" s="119" t="s">
        <v>193</v>
      </c>
      <c r="C2" s="120"/>
      <c r="D2" s="38"/>
      <c r="E2" s="38"/>
      <c r="F2" s="38"/>
      <c r="G2" s="38"/>
      <c r="H2" s="38"/>
      <c r="I2" s="38"/>
      <c r="J2" s="38"/>
    </row>
    <row r="3">
      <c r="A3" s="38"/>
      <c r="B3" s="196" t="s">
        <v>194</v>
      </c>
      <c r="C3" s="196" t="s">
        <v>195</v>
      </c>
      <c r="D3" s="122" t="s">
        <v>245</v>
      </c>
      <c r="E3" s="122" t="s">
        <v>246</v>
      </c>
      <c r="F3" s="122" t="s">
        <v>247</v>
      </c>
      <c r="G3" s="122" t="s">
        <v>248</v>
      </c>
      <c r="H3" s="122" t="s">
        <v>249</v>
      </c>
      <c r="I3" s="122" t="s">
        <v>250</v>
      </c>
      <c r="J3" s="122" t="s">
        <v>251</v>
      </c>
    </row>
    <row r="4">
      <c r="A4" s="38"/>
      <c r="B4" s="197">
        <v>1.0</v>
      </c>
      <c r="C4" s="197" t="s">
        <v>201</v>
      </c>
      <c r="D4" s="197">
        <v>17500.0</v>
      </c>
      <c r="E4" s="197">
        <v>28000.0</v>
      </c>
      <c r="F4" s="197">
        <v>22000.0</v>
      </c>
      <c r="G4" s="197">
        <v>19400.0</v>
      </c>
      <c r="H4" s="197">
        <v>65000.0</v>
      </c>
      <c r="I4" s="197">
        <v>15500.0</v>
      </c>
      <c r="J4" s="197">
        <v>22000.0</v>
      </c>
    </row>
    <row r="5">
      <c r="A5" s="38"/>
      <c r="B5" s="197">
        <v>2.0</v>
      </c>
      <c r="C5" s="198" t="s">
        <v>202</v>
      </c>
      <c r="D5" s="142"/>
      <c r="E5" s="142"/>
      <c r="F5" s="142"/>
      <c r="G5" s="142"/>
      <c r="H5" s="142"/>
      <c r="I5" s="142"/>
      <c r="J5" s="142"/>
    </row>
    <row r="6">
      <c r="A6" s="38"/>
      <c r="B6" s="197">
        <v>3.0</v>
      </c>
      <c r="C6" s="199" t="s">
        <v>252</v>
      </c>
      <c r="D6" s="200">
        <v>21258.503401360547</v>
      </c>
      <c r="E6" s="200">
        <v>34013.60544217687</v>
      </c>
      <c r="F6" s="200">
        <v>26724.975704567543</v>
      </c>
      <c r="G6" s="200">
        <v>23566.569484936834</v>
      </c>
      <c r="H6" s="200">
        <v>78960.15549076775</v>
      </c>
      <c r="I6" s="200">
        <v>18828.960155490768</v>
      </c>
      <c r="J6" s="201">
        <v>26724.975704567543</v>
      </c>
    </row>
    <row r="7">
      <c r="A7" s="38"/>
      <c r="B7" s="197">
        <v>4.0</v>
      </c>
      <c r="C7" s="202" t="s">
        <v>204</v>
      </c>
      <c r="D7" s="203">
        <v>2778.9473684210525</v>
      </c>
      <c r="E7" s="203">
        <v>2778.9473684210525</v>
      </c>
      <c r="F7" s="203">
        <v>2778.9473684210525</v>
      </c>
      <c r="G7" s="203">
        <v>2778.9473684210525</v>
      </c>
      <c r="H7" s="203">
        <v>2778.9473684210525</v>
      </c>
      <c r="I7" s="203">
        <v>2778.9473684210525</v>
      </c>
      <c r="J7" s="203">
        <v>2778.9473684210525</v>
      </c>
    </row>
    <row r="8">
      <c r="A8" s="38"/>
      <c r="B8" s="197">
        <v>5.0</v>
      </c>
      <c r="C8" s="204" t="s">
        <v>205</v>
      </c>
      <c r="D8" s="198">
        <v>0.0</v>
      </c>
      <c r="E8" s="198">
        <v>0.0</v>
      </c>
      <c r="F8" s="198">
        <v>0.0</v>
      </c>
      <c r="G8" s="198">
        <v>0.0</v>
      </c>
      <c r="H8" s="198">
        <v>0.0</v>
      </c>
      <c r="I8" s="198">
        <v>0.0</v>
      </c>
      <c r="J8" s="198">
        <v>0.0</v>
      </c>
    </row>
    <row r="9">
      <c r="A9" s="134" t="s">
        <v>206</v>
      </c>
      <c r="B9" s="197">
        <v>6.0</v>
      </c>
      <c r="C9" s="205" t="s">
        <v>207</v>
      </c>
      <c r="D9" s="196">
        <f t="shared" ref="D9:J9" si="1">SUM(D10:D14)</f>
        <v>2324</v>
      </c>
      <c r="E9" s="196">
        <f t="shared" si="1"/>
        <v>2324</v>
      </c>
      <c r="F9" s="196">
        <f t="shared" si="1"/>
        <v>2324</v>
      </c>
      <c r="G9" s="196">
        <f t="shared" si="1"/>
        <v>2324</v>
      </c>
      <c r="H9" s="196">
        <f t="shared" si="1"/>
        <v>2324</v>
      </c>
      <c r="I9" s="196">
        <f t="shared" si="1"/>
        <v>2324</v>
      </c>
      <c r="J9" s="196">
        <f t="shared" si="1"/>
        <v>2324</v>
      </c>
    </row>
    <row r="10">
      <c r="A10" s="137"/>
      <c r="B10" s="197">
        <v>7.0</v>
      </c>
      <c r="C10" s="206" t="s">
        <v>253</v>
      </c>
      <c r="D10" s="203">
        <v>2000.0</v>
      </c>
      <c r="E10" s="203">
        <v>2000.0</v>
      </c>
      <c r="F10" s="203">
        <v>2000.0</v>
      </c>
      <c r="G10" s="203">
        <v>2000.0</v>
      </c>
      <c r="H10" s="203">
        <v>2000.0</v>
      </c>
      <c r="I10" s="203">
        <v>2000.0</v>
      </c>
      <c r="J10" s="203">
        <v>2000.0</v>
      </c>
    </row>
    <row r="11">
      <c r="A11" s="137"/>
      <c r="B11" s="197">
        <v>8.0</v>
      </c>
      <c r="C11" s="207" t="s">
        <v>209</v>
      </c>
      <c r="D11" s="197">
        <v>173.0</v>
      </c>
      <c r="E11" s="197">
        <v>173.0</v>
      </c>
      <c r="F11" s="197">
        <v>173.0</v>
      </c>
      <c r="G11" s="197">
        <v>173.0</v>
      </c>
      <c r="H11" s="197">
        <v>173.0</v>
      </c>
      <c r="I11" s="197">
        <v>173.0</v>
      </c>
      <c r="J11" s="197">
        <v>173.0</v>
      </c>
    </row>
    <row r="12">
      <c r="A12" s="137"/>
      <c r="B12" s="197">
        <v>9.0</v>
      </c>
      <c r="C12" s="207" t="s">
        <v>210</v>
      </c>
      <c r="D12" s="197">
        <v>100.0</v>
      </c>
      <c r="E12" s="197">
        <v>100.0</v>
      </c>
      <c r="F12" s="197">
        <v>100.0</v>
      </c>
      <c r="G12" s="197">
        <v>100.0</v>
      </c>
      <c r="H12" s="197">
        <v>100.0</v>
      </c>
      <c r="I12" s="197">
        <v>100.0</v>
      </c>
      <c r="J12" s="197">
        <v>100.0</v>
      </c>
    </row>
    <row r="13">
      <c r="A13" s="137"/>
      <c r="B13" s="197">
        <v>10.0</v>
      </c>
      <c r="C13" s="207" t="s">
        <v>211</v>
      </c>
      <c r="D13" s="197">
        <v>25.0</v>
      </c>
      <c r="E13" s="197">
        <v>25.0</v>
      </c>
      <c r="F13" s="197">
        <v>25.0</v>
      </c>
      <c r="G13" s="197">
        <v>25.0</v>
      </c>
      <c r="H13" s="197">
        <v>25.0</v>
      </c>
      <c r="I13" s="197">
        <v>25.0</v>
      </c>
      <c r="J13" s="197">
        <v>25.0</v>
      </c>
    </row>
    <row r="14">
      <c r="A14" s="137"/>
      <c r="B14" s="197">
        <v>11.0</v>
      </c>
      <c r="C14" s="208" t="s">
        <v>212</v>
      </c>
      <c r="D14" s="197">
        <v>26.0</v>
      </c>
      <c r="E14" s="197">
        <v>26.0</v>
      </c>
      <c r="F14" s="197">
        <v>26.0</v>
      </c>
      <c r="G14" s="197">
        <v>26.0</v>
      </c>
      <c r="H14" s="197">
        <v>26.0</v>
      </c>
      <c r="I14" s="197">
        <v>26.0</v>
      </c>
      <c r="J14" s="197">
        <v>26.0</v>
      </c>
    </row>
    <row r="15">
      <c r="A15" s="141" t="s">
        <v>213</v>
      </c>
      <c r="B15" s="197">
        <v>12.0</v>
      </c>
      <c r="C15" s="205" t="s">
        <v>214</v>
      </c>
      <c r="D15" s="196">
        <v>652.0</v>
      </c>
      <c r="E15" s="196">
        <v>652.0</v>
      </c>
      <c r="F15" s="196">
        <v>652.0</v>
      </c>
      <c r="G15" s="196">
        <v>652.0</v>
      </c>
      <c r="H15" s="196">
        <v>652.0</v>
      </c>
      <c r="I15" s="196">
        <v>652.0</v>
      </c>
      <c r="J15" s="196">
        <v>652.0</v>
      </c>
    </row>
    <row r="16">
      <c r="A16" s="38"/>
      <c r="B16" s="197">
        <v>13.0</v>
      </c>
      <c r="C16" s="142"/>
      <c r="D16" s="142"/>
      <c r="E16" s="142"/>
      <c r="F16" s="142"/>
      <c r="G16" s="142"/>
      <c r="H16" s="142"/>
      <c r="I16" s="142"/>
      <c r="J16" s="142"/>
    </row>
    <row r="17">
      <c r="A17" s="141" t="s">
        <v>254</v>
      </c>
      <c r="B17" s="197">
        <v>14.0</v>
      </c>
      <c r="C17" s="209" t="s">
        <v>216</v>
      </c>
      <c r="D17" s="210">
        <f t="shared" ref="D17:J17" si="2">D6*0.08</f>
        <v>1700.680272</v>
      </c>
      <c r="E17" s="210">
        <f t="shared" si="2"/>
        <v>2721.088435</v>
      </c>
      <c r="F17" s="210">
        <f t="shared" si="2"/>
        <v>2137.998056</v>
      </c>
      <c r="G17" s="210">
        <f t="shared" si="2"/>
        <v>1885.325559</v>
      </c>
      <c r="H17" s="210">
        <f t="shared" si="2"/>
        <v>6316.812439</v>
      </c>
      <c r="I17" s="210">
        <f t="shared" si="2"/>
        <v>1506.316812</v>
      </c>
      <c r="J17" s="211">
        <f t="shared" si="2"/>
        <v>2137.998056</v>
      </c>
    </row>
    <row r="18">
      <c r="B18" s="145"/>
      <c r="C18" s="209" t="s">
        <v>217</v>
      </c>
      <c r="D18" s="210">
        <v>198.0</v>
      </c>
      <c r="E18" s="210">
        <v>198.0</v>
      </c>
      <c r="F18" s="210">
        <v>198.0</v>
      </c>
      <c r="G18" s="210">
        <v>198.0</v>
      </c>
      <c r="H18" s="210">
        <v>198.0</v>
      </c>
      <c r="I18" s="210">
        <v>198.0</v>
      </c>
      <c r="J18" s="211">
        <v>198.0</v>
      </c>
    </row>
    <row r="19">
      <c r="B19" s="197">
        <v>15.0</v>
      </c>
      <c r="C19" s="212" t="s">
        <v>218</v>
      </c>
      <c r="D19" s="197">
        <v>957.0</v>
      </c>
      <c r="E19" s="197">
        <v>957.0</v>
      </c>
      <c r="F19" s="197">
        <v>957.0</v>
      </c>
      <c r="G19" s="197">
        <v>957.0</v>
      </c>
      <c r="H19" s="197">
        <v>957.0</v>
      </c>
      <c r="I19" s="197">
        <v>957.0</v>
      </c>
      <c r="J19" s="213">
        <v>957.0</v>
      </c>
    </row>
    <row r="20">
      <c r="B20" s="197">
        <v>16.0</v>
      </c>
      <c r="C20" s="214" t="s">
        <v>219</v>
      </c>
      <c r="D20" s="198">
        <v>275.0</v>
      </c>
      <c r="E20" s="198">
        <v>275.0</v>
      </c>
      <c r="F20" s="198">
        <v>275.0</v>
      </c>
      <c r="G20" s="198">
        <v>275.0</v>
      </c>
      <c r="H20" s="198">
        <v>275.0</v>
      </c>
      <c r="I20" s="198">
        <v>275.0</v>
      </c>
      <c r="J20" s="215">
        <v>275.0</v>
      </c>
    </row>
    <row r="21">
      <c r="B21" s="197">
        <v>19.0</v>
      </c>
      <c r="C21" s="216" t="s">
        <v>220</v>
      </c>
      <c r="D21" s="217">
        <f t="shared" ref="D21:J21" si="3">SUM(D17:D20)</f>
        <v>3130.680272</v>
      </c>
      <c r="E21" s="217">
        <f t="shared" si="3"/>
        <v>4151.088435</v>
      </c>
      <c r="F21" s="217">
        <f t="shared" si="3"/>
        <v>3567.998056</v>
      </c>
      <c r="G21" s="217">
        <f t="shared" si="3"/>
        <v>3315.325559</v>
      </c>
      <c r="H21" s="217">
        <f t="shared" si="3"/>
        <v>7746.812439</v>
      </c>
      <c r="I21" s="217">
        <f t="shared" si="3"/>
        <v>2936.316812</v>
      </c>
      <c r="J21" s="218">
        <f t="shared" si="3"/>
        <v>3567.998056</v>
      </c>
    </row>
    <row r="22">
      <c r="A22" s="38"/>
      <c r="B22" s="197">
        <v>20.0</v>
      </c>
      <c r="C22" s="154"/>
      <c r="D22" s="155"/>
      <c r="E22" s="155"/>
      <c r="F22" s="155"/>
      <c r="G22" s="155"/>
      <c r="H22" s="155"/>
      <c r="I22" s="155"/>
      <c r="J22" s="156"/>
    </row>
    <row r="23">
      <c r="A23" s="157" t="s">
        <v>221</v>
      </c>
      <c r="B23" s="197">
        <v>21.0</v>
      </c>
      <c r="C23" s="209" t="s">
        <v>217</v>
      </c>
      <c r="D23" s="210">
        <v>198.0</v>
      </c>
      <c r="E23" s="210">
        <v>198.0</v>
      </c>
      <c r="F23" s="210">
        <v>198.0</v>
      </c>
      <c r="G23" s="210">
        <v>198.0</v>
      </c>
      <c r="H23" s="210">
        <v>198.0</v>
      </c>
      <c r="I23" s="210">
        <v>198.0</v>
      </c>
      <c r="J23" s="219" t="s">
        <v>222</v>
      </c>
    </row>
    <row r="24">
      <c r="A24" s="137"/>
      <c r="B24" s="197">
        <v>22.0</v>
      </c>
      <c r="C24" s="212" t="s">
        <v>218</v>
      </c>
      <c r="D24" s="197">
        <v>957.0</v>
      </c>
      <c r="E24" s="197">
        <v>957.0</v>
      </c>
      <c r="F24" s="197">
        <v>957.0</v>
      </c>
      <c r="G24" s="197">
        <v>957.0</v>
      </c>
      <c r="H24" s="197">
        <v>957.0</v>
      </c>
      <c r="I24" s="197">
        <v>957.0</v>
      </c>
      <c r="J24" s="159"/>
    </row>
    <row r="25">
      <c r="A25" s="137"/>
      <c r="B25" s="197">
        <v>23.0</v>
      </c>
      <c r="C25" s="214" t="s">
        <v>219</v>
      </c>
      <c r="D25" s="198">
        <v>275.0</v>
      </c>
      <c r="E25" s="198">
        <v>275.0</v>
      </c>
      <c r="F25" s="198">
        <v>275.0</v>
      </c>
      <c r="G25" s="198">
        <v>275.0</v>
      </c>
      <c r="H25" s="198">
        <v>275.0</v>
      </c>
      <c r="I25" s="198">
        <v>275.0</v>
      </c>
      <c r="J25" s="159"/>
    </row>
    <row r="26">
      <c r="A26" s="137"/>
      <c r="B26" s="197">
        <v>24.0</v>
      </c>
      <c r="C26" s="214" t="s">
        <v>223</v>
      </c>
      <c r="D26" s="198">
        <v>1600.0</v>
      </c>
      <c r="E26" s="198">
        <v>1600.0</v>
      </c>
      <c r="F26" s="198">
        <v>1600.0</v>
      </c>
      <c r="G26" s="198">
        <v>1600.0</v>
      </c>
      <c r="H26" s="198">
        <v>1600.0</v>
      </c>
      <c r="I26" s="198">
        <v>1600.0</v>
      </c>
      <c r="J26" s="159"/>
    </row>
    <row r="27">
      <c r="A27" s="137"/>
      <c r="B27" s="197">
        <v>25.0</v>
      </c>
      <c r="C27" s="214" t="s">
        <v>224</v>
      </c>
      <c r="D27" s="198">
        <v>1600.0</v>
      </c>
      <c r="E27" s="198">
        <v>1600.0</v>
      </c>
      <c r="F27" s="198">
        <v>1600.0</v>
      </c>
      <c r="G27" s="198">
        <v>1600.0</v>
      </c>
      <c r="H27" s="198">
        <v>1600.0</v>
      </c>
      <c r="I27" s="198">
        <v>1600.0</v>
      </c>
      <c r="J27" s="160"/>
    </row>
    <row r="28">
      <c r="A28" s="137"/>
      <c r="B28" s="197">
        <v>26.0</v>
      </c>
      <c r="C28" s="216" t="s">
        <v>220</v>
      </c>
      <c r="D28" s="217">
        <v>2868.2896015549077</v>
      </c>
      <c r="E28" s="217">
        <f t="shared" ref="E28:I28" si="4">E21</f>
        <v>4151.088435</v>
      </c>
      <c r="F28" s="220">
        <f t="shared" si="4"/>
        <v>3567.998056</v>
      </c>
      <c r="G28" s="217">
        <f t="shared" si="4"/>
        <v>3315.325559</v>
      </c>
      <c r="H28" s="217">
        <f t="shared" si="4"/>
        <v>7746.812439</v>
      </c>
      <c r="I28" s="217">
        <f t="shared" si="4"/>
        <v>2936.316812</v>
      </c>
      <c r="J28" s="221">
        <f>SUM(D28:I28,I26:I27)</f>
        <v>27785.8309</v>
      </c>
    </row>
    <row r="29">
      <c r="A29" s="38"/>
      <c r="B29" s="163"/>
      <c r="C29" s="164"/>
      <c r="D29" s="155"/>
      <c r="E29" s="155"/>
      <c r="F29" s="164"/>
      <c r="G29" s="155"/>
      <c r="H29" s="155"/>
      <c r="I29" s="155"/>
      <c r="J29" s="165"/>
    </row>
    <row r="30">
      <c r="A30" s="134" t="s">
        <v>225</v>
      </c>
      <c r="B30" s="197">
        <v>20.0</v>
      </c>
      <c r="C30" s="222" t="s">
        <v>226</v>
      </c>
      <c r="D30" s="223">
        <v>759.0</v>
      </c>
      <c r="E30" s="223">
        <v>759.0</v>
      </c>
      <c r="F30" s="223">
        <v>759.0</v>
      </c>
      <c r="G30" s="223">
        <v>759.0</v>
      </c>
      <c r="H30" s="223">
        <v>759.0</v>
      </c>
      <c r="I30" s="223">
        <v>759.0</v>
      </c>
      <c r="J30" s="224">
        <v>759.0</v>
      </c>
    </row>
    <row r="31">
      <c r="A31" s="137"/>
      <c r="B31" s="197">
        <v>21.0</v>
      </c>
      <c r="C31" s="225" t="s">
        <v>227</v>
      </c>
      <c r="D31" s="145"/>
      <c r="E31" s="145"/>
      <c r="F31" s="145"/>
      <c r="G31" s="145"/>
      <c r="H31" s="145"/>
      <c r="I31" s="145"/>
      <c r="J31" s="226">
        <v>0.0</v>
      </c>
    </row>
    <row r="32">
      <c r="A32" s="137"/>
      <c r="B32" s="197">
        <v>22.0</v>
      </c>
      <c r="C32" s="227" t="s">
        <v>220</v>
      </c>
      <c r="D32" s="196">
        <f t="shared" ref="D32:J32" si="5">SUM(D30:D31)</f>
        <v>759</v>
      </c>
      <c r="E32" s="196">
        <f t="shared" si="5"/>
        <v>759</v>
      </c>
      <c r="F32" s="196">
        <f t="shared" si="5"/>
        <v>759</v>
      </c>
      <c r="G32" s="196">
        <f t="shared" si="5"/>
        <v>759</v>
      </c>
      <c r="H32" s="196">
        <f t="shared" si="5"/>
        <v>759</v>
      </c>
      <c r="I32" s="196">
        <f t="shared" si="5"/>
        <v>759</v>
      </c>
      <c r="J32" s="228">
        <f t="shared" si="5"/>
        <v>759</v>
      </c>
    </row>
    <row r="33">
      <c r="A33" s="137"/>
      <c r="B33" s="197">
        <v>23.0</v>
      </c>
      <c r="C33" s="229" t="s">
        <v>228</v>
      </c>
      <c r="D33" s="197">
        <v>814.0</v>
      </c>
      <c r="E33" s="197">
        <v>814.0</v>
      </c>
      <c r="F33" s="197">
        <v>814.0</v>
      </c>
      <c r="G33" s="197">
        <v>814.0</v>
      </c>
      <c r="H33" s="197">
        <v>814.0</v>
      </c>
      <c r="I33" s="197">
        <v>814.0</v>
      </c>
      <c r="J33" s="226">
        <v>814.0</v>
      </c>
    </row>
    <row r="34">
      <c r="A34" s="137"/>
      <c r="B34" s="197">
        <v>24.0</v>
      </c>
      <c r="C34" s="225" t="s">
        <v>229</v>
      </c>
      <c r="D34" s="145"/>
      <c r="E34" s="145"/>
      <c r="F34" s="145"/>
      <c r="G34" s="145"/>
      <c r="H34" s="145"/>
      <c r="I34" s="145"/>
      <c r="J34" s="170"/>
    </row>
    <row r="35">
      <c r="A35" s="137"/>
      <c r="B35" s="197">
        <v>25.0</v>
      </c>
      <c r="C35" s="227" t="s">
        <v>220</v>
      </c>
      <c r="D35" s="196">
        <f t="shared" ref="D35:J35" si="6">SUM(D33:D34)</f>
        <v>814</v>
      </c>
      <c r="E35" s="196">
        <f t="shared" si="6"/>
        <v>814</v>
      </c>
      <c r="F35" s="196">
        <f t="shared" si="6"/>
        <v>814</v>
      </c>
      <c r="G35" s="196">
        <f t="shared" si="6"/>
        <v>814</v>
      </c>
      <c r="H35" s="196">
        <f t="shared" si="6"/>
        <v>814</v>
      </c>
      <c r="I35" s="196">
        <f t="shared" si="6"/>
        <v>814</v>
      </c>
      <c r="J35" s="228">
        <f t="shared" si="6"/>
        <v>814</v>
      </c>
    </row>
    <row r="36">
      <c r="A36" s="137"/>
      <c r="B36" s="197">
        <v>26.0</v>
      </c>
      <c r="C36" s="229" t="s">
        <v>230</v>
      </c>
      <c r="D36" s="197">
        <v>814.0</v>
      </c>
      <c r="E36" s="197">
        <v>814.0</v>
      </c>
      <c r="F36" s="197">
        <v>814.0</v>
      </c>
      <c r="G36" s="197">
        <v>814.0</v>
      </c>
      <c r="H36" s="197">
        <v>814.0</v>
      </c>
      <c r="I36" s="197">
        <v>814.0</v>
      </c>
      <c r="J36" s="226">
        <v>814.0</v>
      </c>
    </row>
    <row r="37">
      <c r="A37" s="137"/>
      <c r="B37" s="197">
        <v>27.0</v>
      </c>
      <c r="C37" s="225" t="s">
        <v>229</v>
      </c>
      <c r="D37" s="145"/>
      <c r="E37" s="145"/>
      <c r="F37" s="145"/>
      <c r="G37" s="145"/>
      <c r="H37" s="145"/>
      <c r="I37" s="145"/>
      <c r="J37" s="170"/>
    </row>
    <row r="38">
      <c r="A38" s="137"/>
      <c r="B38" s="197">
        <v>28.0</v>
      </c>
      <c r="C38" s="227" t="s">
        <v>220</v>
      </c>
      <c r="D38" s="196">
        <f t="shared" ref="D38:J38" si="7">SUM(D36:D37)</f>
        <v>814</v>
      </c>
      <c r="E38" s="196">
        <f t="shared" si="7"/>
        <v>814</v>
      </c>
      <c r="F38" s="196">
        <f t="shared" si="7"/>
        <v>814</v>
      </c>
      <c r="G38" s="196">
        <f t="shared" si="7"/>
        <v>814</v>
      </c>
      <c r="H38" s="196">
        <f t="shared" si="7"/>
        <v>814</v>
      </c>
      <c r="I38" s="196">
        <f t="shared" si="7"/>
        <v>814</v>
      </c>
      <c r="J38" s="228">
        <f t="shared" si="7"/>
        <v>814</v>
      </c>
    </row>
    <row r="39">
      <c r="A39" s="137"/>
      <c r="B39" s="197">
        <v>29.0</v>
      </c>
      <c r="C39" s="225" t="s">
        <v>231</v>
      </c>
      <c r="D39" s="197">
        <v>781.0</v>
      </c>
      <c r="E39" s="197">
        <v>781.0</v>
      </c>
      <c r="F39" s="197">
        <v>781.0</v>
      </c>
      <c r="G39" s="197">
        <v>781.0</v>
      </c>
      <c r="H39" s="197">
        <v>781.0</v>
      </c>
      <c r="I39" s="197">
        <v>781.0</v>
      </c>
      <c r="J39" s="226">
        <v>781.0</v>
      </c>
    </row>
    <row r="40">
      <c r="A40" s="137"/>
      <c r="B40" s="197">
        <v>30.0</v>
      </c>
      <c r="C40" s="225" t="s">
        <v>232</v>
      </c>
      <c r="D40" s="145"/>
      <c r="E40" s="145"/>
      <c r="F40" s="145"/>
      <c r="G40" s="145"/>
      <c r="H40" s="145"/>
      <c r="I40" s="145"/>
      <c r="J40" s="170"/>
    </row>
    <row r="41">
      <c r="A41" s="137"/>
      <c r="B41" s="197">
        <v>31.0</v>
      </c>
      <c r="C41" s="227" t="s">
        <v>220</v>
      </c>
      <c r="D41" s="196">
        <f t="shared" ref="D41:J41" si="8">SUM(D39:D40)</f>
        <v>781</v>
      </c>
      <c r="E41" s="196">
        <f t="shared" si="8"/>
        <v>781</v>
      </c>
      <c r="F41" s="196">
        <f t="shared" si="8"/>
        <v>781</v>
      </c>
      <c r="G41" s="196">
        <f t="shared" si="8"/>
        <v>781</v>
      </c>
      <c r="H41" s="196">
        <f t="shared" si="8"/>
        <v>781</v>
      </c>
      <c r="I41" s="196">
        <f t="shared" si="8"/>
        <v>781</v>
      </c>
      <c r="J41" s="228">
        <f t="shared" si="8"/>
        <v>781</v>
      </c>
    </row>
    <row r="42">
      <c r="A42" s="137"/>
      <c r="B42" s="197">
        <v>32.0</v>
      </c>
      <c r="C42" s="229" t="s">
        <v>233</v>
      </c>
      <c r="D42" s="197">
        <v>759.0</v>
      </c>
      <c r="E42" s="197">
        <v>847.0</v>
      </c>
      <c r="F42" s="197">
        <v>847.0</v>
      </c>
      <c r="G42" s="197">
        <v>847.0</v>
      </c>
      <c r="H42" s="197">
        <v>847.0</v>
      </c>
      <c r="I42" s="197">
        <v>847.0</v>
      </c>
      <c r="J42" s="226">
        <v>847.0</v>
      </c>
    </row>
    <row r="43">
      <c r="A43" s="137"/>
      <c r="B43" s="197">
        <v>33.0</v>
      </c>
      <c r="C43" s="225" t="s">
        <v>232</v>
      </c>
      <c r="D43" s="145"/>
      <c r="E43" s="145"/>
      <c r="F43" s="145"/>
      <c r="G43" s="145"/>
      <c r="H43" s="145"/>
      <c r="I43" s="145"/>
      <c r="J43" s="170"/>
    </row>
    <row r="44">
      <c r="A44" s="137"/>
      <c r="B44" s="197">
        <v>34.0</v>
      </c>
      <c r="C44" s="230" t="s">
        <v>220</v>
      </c>
      <c r="D44" s="231">
        <f t="shared" ref="D44:J44" si="9">SUM(D42:D43)</f>
        <v>759</v>
      </c>
      <c r="E44" s="231">
        <f t="shared" si="9"/>
        <v>847</v>
      </c>
      <c r="F44" s="231">
        <f t="shared" si="9"/>
        <v>847</v>
      </c>
      <c r="G44" s="231">
        <f t="shared" si="9"/>
        <v>847</v>
      </c>
      <c r="H44" s="231">
        <f t="shared" si="9"/>
        <v>847</v>
      </c>
      <c r="I44" s="231">
        <f t="shared" si="9"/>
        <v>847</v>
      </c>
      <c r="J44" s="232">
        <f t="shared" si="9"/>
        <v>847</v>
      </c>
    </row>
    <row r="45">
      <c r="A45" s="38"/>
      <c r="B45" s="145"/>
      <c r="C45" s="178"/>
      <c r="D45" s="178"/>
      <c r="E45" s="178"/>
      <c r="F45" s="178"/>
      <c r="G45" s="178"/>
      <c r="H45" s="178"/>
      <c r="I45" s="178"/>
      <c r="J45" s="178"/>
    </row>
    <row r="46">
      <c r="A46" s="38"/>
      <c r="B46" s="145"/>
      <c r="C46" s="207" t="s">
        <v>234</v>
      </c>
      <c r="D46" s="145"/>
      <c r="E46" s="145"/>
      <c r="F46" s="145"/>
      <c r="G46" s="145"/>
      <c r="H46" s="145"/>
      <c r="I46" s="145"/>
      <c r="J46" s="145"/>
    </row>
    <row r="47">
      <c r="A47" s="38"/>
      <c r="B47" s="145"/>
      <c r="C47" s="145"/>
      <c r="D47" s="145"/>
      <c r="E47" s="145"/>
      <c r="F47" s="145"/>
      <c r="G47" s="145"/>
      <c r="H47" s="145"/>
      <c r="I47" s="145"/>
      <c r="J47" s="145"/>
    </row>
    <row r="48">
      <c r="A48" s="38"/>
      <c r="B48" s="145"/>
      <c r="C48" s="38"/>
      <c r="D48" s="145"/>
      <c r="E48" s="145"/>
      <c r="F48" s="145"/>
      <c r="G48" s="145"/>
      <c r="H48" s="145"/>
      <c r="I48" s="145"/>
      <c r="J48" s="145"/>
    </row>
    <row r="49">
      <c r="A49" s="38"/>
      <c r="B49" s="145"/>
      <c r="C49" s="145"/>
      <c r="D49" s="145"/>
      <c r="E49" s="145"/>
      <c r="F49" s="145"/>
      <c r="G49" s="145"/>
      <c r="H49" s="145"/>
      <c r="I49" s="145"/>
      <c r="J49" s="145"/>
    </row>
    <row r="50">
      <c r="A50" s="38"/>
      <c r="B50" s="145"/>
      <c r="C50" s="145"/>
      <c r="D50" s="145"/>
      <c r="E50" s="145"/>
      <c r="F50" s="145"/>
      <c r="G50" s="145"/>
      <c r="H50" s="145"/>
      <c r="I50" s="145"/>
      <c r="J50" s="145"/>
    </row>
    <row r="51">
      <c r="A51" s="38"/>
      <c r="B51" s="145"/>
      <c r="C51" s="145"/>
      <c r="D51" s="145"/>
      <c r="E51" s="145"/>
      <c r="F51" s="145"/>
      <c r="G51" s="145"/>
      <c r="H51" s="145"/>
      <c r="I51" s="145"/>
      <c r="J51" s="145"/>
    </row>
    <row r="52">
      <c r="A52" s="38"/>
      <c r="B52" s="145"/>
      <c r="C52" s="145"/>
      <c r="D52" s="145"/>
      <c r="E52" s="145"/>
      <c r="F52" s="145"/>
      <c r="G52" s="145"/>
      <c r="H52" s="145"/>
      <c r="I52" s="145"/>
      <c r="J52" s="145"/>
    </row>
    <row r="53">
      <c r="A53" s="38"/>
      <c r="B53" s="145"/>
      <c r="C53" s="233" t="s">
        <v>235</v>
      </c>
      <c r="D53" s="197">
        <f t="shared" ref="D53:J53" si="10">SUM(D6:D9)</f>
        <v>26361.45077</v>
      </c>
      <c r="E53" s="197">
        <f t="shared" si="10"/>
        <v>39116.55281</v>
      </c>
      <c r="F53" s="197">
        <f t="shared" si="10"/>
        <v>31827.92307</v>
      </c>
      <c r="G53" s="197">
        <f t="shared" si="10"/>
        <v>28669.51685</v>
      </c>
      <c r="H53" s="197">
        <f t="shared" si="10"/>
        <v>84063.10286</v>
      </c>
      <c r="I53" s="197">
        <f t="shared" si="10"/>
        <v>23931.90752</v>
      </c>
      <c r="J53" s="197">
        <f t="shared" si="10"/>
        <v>31827.92307</v>
      </c>
    </row>
    <row r="54">
      <c r="A54" s="38"/>
      <c r="B54" s="38"/>
      <c r="C54" s="38"/>
      <c r="D54" s="234" t="s">
        <v>3</v>
      </c>
      <c r="E54" s="234" t="s">
        <v>32</v>
      </c>
      <c r="F54" s="234" t="s">
        <v>255</v>
      </c>
      <c r="G54" s="234" t="s">
        <v>256</v>
      </c>
      <c r="H54" s="234" t="s">
        <v>257</v>
      </c>
      <c r="I54" s="234" t="s">
        <v>258</v>
      </c>
      <c r="J54" s="234" t="s">
        <v>24</v>
      </c>
    </row>
    <row r="55">
      <c r="A55" s="38"/>
      <c r="B55" s="38"/>
      <c r="C55" s="235" t="s">
        <v>10</v>
      </c>
      <c r="D55" s="236">
        <v>9800.0</v>
      </c>
      <c r="E55" s="236">
        <v>10200.0</v>
      </c>
      <c r="F55" s="236">
        <v>10200.0</v>
      </c>
      <c r="G55" s="236">
        <v>10200.0</v>
      </c>
      <c r="H55" s="236">
        <v>18000.0</v>
      </c>
      <c r="I55" s="236">
        <v>10200.0</v>
      </c>
      <c r="J55" s="236">
        <v>10200.0</v>
      </c>
    </row>
    <row r="56">
      <c r="A56" s="38"/>
      <c r="B56" s="38"/>
      <c r="C56" s="237" t="s">
        <v>241</v>
      </c>
      <c r="D56" s="197">
        <v>2125.850340136055</v>
      </c>
      <c r="E56" s="197">
        <v>3401.360544217687</v>
      </c>
      <c r="F56" s="197">
        <v>2672.497570456754</v>
      </c>
      <c r="G56" s="197">
        <v>2356.6569484936836</v>
      </c>
      <c r="H56" s="197">
        <v>7896.015549076775</v>
      </c>
      <c r="I56" s="197">
        <v>1882.8960155490768</v>
      </c>
      <c r="J56" s="197">
        <v>2672.497570456754</v>
      </c>
    </row>
    <row r="57">
      <c r="A57" s="38"/>
      <c r="B57" s="38"/>
      <c r="C57" s="237" t="s">
        <v>242</v>
      </c>
      <c r="D57" s="197">
        <v>5486.745076978161</v>
      </c>
      <c r="E57" s="197">
        <v>6762.255281059793</v>
      </c>
      <c r="F57" s="197">
        <v>6033.39230729886</v>
      </c>
      <c r="G57" s="197">
        <v>5717.551685335789</v>
      </c>
      <c r="H57" s="197">
        <v>11256.910285918879</v>
      </c>
      <c r="I57" s="197">
        <v>5243.790752391182</v>
      </c>
      <c r="J57" s="197">
        <v>6033.39230729886</v>
      </c>
    </row>
    <row r="58">
      <c r="A58" s="38"/>
      <c r="B58" s="38"/>
      <c r="C58" s="237" t="s">
        <v>243</v>
      </c>
      <c r="D58" s="197">
        <v>4313.254923021839</v>
      </c>
      <c r="E58" s="197">
        <v>3437.7447189402073</v>
      </c>
      <c r="F58" s="197">
        <v>4166.60769270114</v>
      </c>
      <c r="G58" s="197">
        <v>4482.448314664211</v>
      </c>
      <c r="H58" s="197">
        <v>6743.089714081121</v>
      </c>
      <c r="I58" s="197">
        <v>4956.209247608818</v>
      </c>
      <c r="J58" s="197">
        <v>4166.60769270114</v>
      </c>
    </row>
    <row r="59">
      <c r="A59" s="38"/>
      <c r="B59" s="38"/>
      <c r="C59" s="237" t="s">
        <v>14</v>
      </c>
      <c r="D59" s="238">
        <v>0.5598719466304246</v>
      </c>
      <c r="E59" s="238">
        <v>0.6629662040254699</v>
      </c>
      <c r="F59" s="238">
        <v>0.5915090497351824</v>
      </c>
      <c r="G59" s="238">
        <v>0.5605442828760578</v>
      </c>
      <c r="H59" s="238">
        <v>0.625383904773271</v>
      </c>
      <c r="I59" s="238">
        <v>0.5140971325873708</v>
      </c>
      <c r="J59" s="238">
        <v>0.5915090497351824</v>
      </c>
    </row>
    <row r="60">
      <c r="A60" s="38"/>
      <c r="B60" s="38"/>
      <c r="C60" s="235" t="s">
        <v>15</v>
      </c>
      <c r="D60" s="236">
        <v>18300.0</v>
      </c>
      <c r="E60" s="236">
        <v>19300.0</v>
      </c>
      <c r="F60" s="236">
        <v>19300.0</v>
      </c>
      <c r="G60" s="236">
        <v>19300.0</v>
      </c>
      <c r="H60" s="236">
        <v>30000.0</v>
      </c>
      <c r="I60" s="236">
        <v>19300.0</v>
      </c>
      <c r="J60" s="236">
        <v>19300.0</v>
      </c>
    </row>
    <row r="61">
      <c r="A61" s="38"/>
      <c r="B61" s="38"/>
      <c r="C61" s="237" t="s">
        <v>241</v>
      </c>
      <c r="D61" s="197">
        <v>4251.70068027211</v>
      </c>
      <c r="E61" s="197">
        <v>6802.721088435374</v>
      </c>
      <c r="F61" s="197">
        <v>5344.995140913508</v>
      </c>
      <c r="G61" s="197">
        <v>4713.313896987367</v>
      </c>
      <c r="H61" s="197">
        <v>15792.03109815355</v>
      </c>
      <c r="I61" s="197">
        <v>3765.7920310981535</v>
      </c>
      <c r="J61" s="197">
        <v>5344.995140913508</v>
      </c>
    </row>
    <row r="62">
      <c r="A62" s="38"/>
      <c r="B62" s="38"/>
      <c r="C62" s="237" t="s">
        <v>242</v>
      </c>
      <c r="D62" s="197">
        <v>7945.490153956321</v>
      </c>
      <c r="E62" s="197">
        <v>10496.510562119585</v>
      </c>
      <c r="F62" s="197">
        <v>9038.78461459772</v>
      </c>
      <c r="G62" s="197">
        <v>8407.103370671579</v>
      </c>
      <c r="H62" s="197">
        <v>19485.820571837758</v>
      </c>
      <c r="I62" s="197">
        <v>7459.581504782364</v>
      </c>
      <c r="J62" s="197">
        <v>9038.78461459772</v>
      </c>
    </row>
    <row r="63">
      <c r="A63" s="38"/>
      <c r="B63" s="38"/>
      <c r="C63" s="237" t="s">
        <v>243</v>
      </c>
      <c r="D63" s="197">
        <v>10354.509846043678</v>
      </c>
      <c r="E63" s="197">
        <v>8803.489437880415</v>
      </c>
      <c r="F63" s="197">
        <v>10261.21538540228</v>
      </c>
      <c r="G63" s="197">
        <v>10892.896629328421</v>
      </c>
      <c r="H63" s="197">
        <v>10514.179428162242</v>
      </c>
      <c r="I63" s="197">
        <v>11840.418495217637</v>
      </c>
      <c r="J63" s="197">
        <v>10261.21538540228</v>
      </c>
    </row>
    <row r="64">
      <c r="A64" s="38"/>
      <c r="B64" s="38"/>
      <c r="C64" s="237" t="s">
        <v>14</v>
      </c>
      <c r="D64" s="238">
        <v>0.4341797898336787</v>
      </c>
      <c r="E64" s="238">
        <v>0.5438606508870252</v>
      </c>
      <c r="F64" s="238">
        <v>0.468330809046514</v>
      </c>
      <c r="G64" s="238">
        <v>0.43560121091562587</v>
      </c>
      <c r="H64" s="238">
        <v>0.6495273523945919</v>
      </c>
      <c r="I64" s="238">
        <v>0.3865068137192935</v>
      </c>
      <c r="J64" s="238">
        <v>0.468330809046514</v>
      </c>
    </row>
    <row r="65">
      <c r="A65" s="38"/>
      <c r="B65" s="38"/>
      <c r="C65" s="239" t="s">
        <v>16</v>
      </c>
      <c r="D65" s="236">
        <v>31900.0</v>
      </c>
      <c r="E65" s="236">
        <v>33900.0</v>
      </c>
      <c r="F65" s="236">
        <v>33900.0</v>
      </c>
      <c r="G65" s="236">
        <v>33900.0</v>
      </c>
      <c r="H65" s="236">
        <v>35000.0</v>
      </c>
      <c r="I65" s="236">
        <v>33900.0</v>
      </c>
      <c r="J65" s="236">
        <v>33900.0</v>
      </c>
    </row>
    <row r="66">
      <c r="A66" s="38"/>
      <c r="B66" s="38"/>
      <c r="C66" s="237" t="s">
        <v>241</v>
      </c>
      <c r="D66" s="197">
        <v>6377.551020408164</v>
      </c>
      <c r="E66" s="197">
        <v>10204.08163265306</v>
      </c>
      <c r="F66" s="197">
        <v>8017.492711370262</v>
      </c>
      <c r="G66" s="197">
        <v>7069.97084548105</v>
      </c>
      <c r="H66" s="197">
        <v>23688.046647230323</v>
      </c>
      <c r="I66" s="197">
        <v>5648.68804664723</v>
      </c>
      <c r="J66" s="197">
        <v>8017.492711370262</v>
      </c>
    </row>
    <row r="67">
      <c r="A67" s="38"/>
      <c r="B67" s="38"/>
      <c r="C67" s="237" t="s">
        <v>242</v>
      </c>
      <c r="D67" s="197">
        <v>10349.235230934479</v>
      </c>
      <c r="E67" s="197">
        <v>14175.765843179375</v>
      </c>
      <c r="F67" s="197">
        <v>11989.176921896578</v>
      </c>
      <c r="G67" s="197">
        <v>11041.655056007367</v>
      </c>
      <c r="H67" s="197">
        <v>27659.73085775664</v>
      </c>
      <c r="I67" s="197">
        <v>9620.372257173545</v>
      </c>
      <c r="J67" s="197">
        <v>11989.176921896578</v>
      </c>
    </row>
    <row r="68">
      <c r="A68" s="38"/>
      <c r="B68" s="38"/>
      <c r="C68" s="237" t="s">
        <v>243</v>
      </c>
      <c r="D68" s="197">
        <v>21550.76476906552</v>
      </c>
      <c r="E68" s="197">
        <v>19724.234156820625</v>
      </c>
      <c r="F68" s="197">
        <v>21910.82307810342</v>
      </c>
      <c r="G68" s="197">
        <v>22858.344943992633</v>
      </c>
      <c r="H68" s="197">
        <v>7340.26914224336</v>
      </c>
      <c r="I68" s="197">
        <v>24279.627742826455</v>
      </c>
      <c r="J68" s="197">
        <v>21910.82307810342</v>
      </c>
    </row>
    <row r="69">
      <c r="A69" s="38"/>
      <c r="B69" s="38"/>
      <c r="C69" s="237" t="s">
        <v>14</v>
      </c>
      <c r="D69" s="238">
        <v>0.32442743670641</v>
      </c>
      <c r="E69" s="238">
        <v>0.41816418416458334</v>
      </c>
      <c r="F69" s="238">
        <v>0.35366303604414684</v>
      </c>
      <c r="G69" s="238">
        <v>0.32571253852529103</v>
      </c>
      <c r="H69" s="238">
        <v>0.7902780245073325</v>
      </c>
      <c r="I69" s="238">
        <v>0.28378679224700726</v>
      </c>
      <c r="J69" s="238">
        <v>0.35366303604414684</v>
      </c>
    </row>
    <row r="70">
      <c r="A70" s="38"/>
      <c r="B70" s="38"/>
      <c r="C70" s="239" t="s">
        <v>17</v>
      </c>
      <c r="D70" s="236">
        <v>32900.0</v>
      </c>
      <c r="E70" s="236">
        <v>34900.0</v>
      </c>
      <c r="F70" s="236">
        <v>34900.0</v>
      </c>
      <c r="G70" s="236">
        <v>34900.0</v>
      </c>
      <c r="H70" s="236">
        <v>40000.0</v>
      </c>
      <c r="I70" s="236">
        <v>34900.0</v>
      </c>
      <c r="J70" s="236">
        <v>34900.0</v>
      </c>
    </row>
    <row r="71">
      <c r="A71" s="38"/>
      <c r="B71" s="38"/>
      <c r="C71" s="237" t="s">
        <v>241</v>
      </c>
      <c r="D71" s="197">
        <v>7227.891156462599</v>
      </c>
      <c r="E71" s="197">
        <v>11564.625850340157</v>
      </c>
      <c r="F71" s="197">
        <v>9086.491739552981</v>
      </c>
      <c r="G71" s="197">
        <v>8012.633624878537</v>
      </c>
      <c r="H71" s="197">
        <v>26846.45286686108</v>
      </c>
      <c r="I71" s="197">
        <v>6401.846452866872</v>
      </c>
      <c r="J71" s="197">
        <v>9086.491739552981</v>
      </c>
    </row>
    <row r="72">
      <c r="A72" s="38"/>
      <c r="B72" s="38"/>
      <c r="C72" s="237" t="s">
        <v>242</v>
      </c>
      <c r="D72" s="197">
        <v>11277.733261725756</v>
      </c>
      <c r="E72" s="197">
        <v>15614.467955603315</v>
      </c>
      <c r="F72" s="197">
        <v>13136.33384481614</v>
      </c>
      <c r="G72" s="197">
        <v>12062.475730141696</v>
      </c>
      <c r="H72" s="197">
        <v>30896.294972124237</v>
      </c>
      <c r="I72" s="197">
        <v>10451.68855813003</v>
      </c>
      <c r="J72" s="197">
        <v>13136.33384481614</v>
      </c>
    </row>
    <row r="73">
      <c r="A73" s="38"/>
      <c r="B73" s="38"/>
      <c r="C73" s="237" t="s">
        <v>243</v>
      </c>
      <c r="D73" s="197">
        <v>21622.266738274244</v>
      </c>
      <c r="E73" s="197">
        <v>19285.532044396685</v>
      </c>
      <c r="F73" s="197">
        <v>21763.666155183862</v>
      </c>
      <c r="G73" s="197">
        <v>22837.524269858302</v>
      </c>
      <c r="H73" s="197">
        <v>9103.705027875763</v>
      </c>
      <c r="I73" s="197">
        <v>24448.31144186997</v>
      </c>
      <c r="J73" s="197">
        <v>21763.666155183862</v>
      </c>
    </row>
    <row r="74">
      <c r="A74" s="38"/>
      <c r="B74" s="38"/>
      <c r="C74" s="237" t="s">
        <v>14</v>
      </c>
      <c r="D74" s="238">
        <v>0.342788245037257</v>
      </c>
      <c r="E74" s="238">
        <v>0.44740595861327553</v>
      </c>
      <c r="F74" s="238">
        <v>0.3763992505677977</v>
      </c>
      <c r="G74" s="238">
        <v>0.34562967708142395</v>
      </c>
      <c r="H74" s="238">
        <v>0.7724073743031059</v>
      </c>
      <c r="I74" s="238">
        <v>0.29947531685186335</v>
      </c>
      <c r="J74" s="238">
        <v>0.3763992505677977</v>
      </c>
    </row>
    <row r="75">
      <c r="A75" s="38"/>
      <c r="B75" s="38"/>
      <c r="C75" s="235" t="s">
        <v>18</v>
      </c>
      <c r="D75" s="236">
        <v>33500.0</v>
      </c>
      <c r="E75" s="236">
        <v>36500.0</v>
      </c>
      <c r="F75" s="236">
        <v>36500.0</v>
      </c>
      <c r="G75" s="236">
        <v>36500.0</v>
      </c>
      <c r="H75" s="236" t="s">
        <v>259</v>
      </c>
      <c r="I75" s="236">
        <v>36500.0</v>
      </c>
      <c r="J75" s="236">
        <v>36500.0</v>
      </c>
    </row>
    <row r="76">
      <c r="A76" s="38"/>
      <c r="B76" s="38"/>
      <c r="C76" s="237" t="s">
        <v>241</v>
      </c>
      <c r="D76" s="197">
        <v>10629.251700680274</v>
      </c>
      <c r="E76" s="197">
        <v>17006.802721088436</v>
      </c>
      <c r="F76" s="197">
        <v>13362.487852283772</v>
      </c>
      <c r="G76" s="197">
        <v>11783.284742468417</v>
      </c>
      <c r="H76" s="197" t="s">
        <v>259</v>
      </c>
      <c r="I76" s="197">
        <v>9414.480077745384</v>
      </c>
      <c r="J76" s="197">
        <v>13362.487852283772</v>
      </c>
    </row>
    <row r="77">
      <c r="A77" s="38"/>
      <c r="B77" s="38"/>
      <c r="C77" s="237" t="s">
        <v>242</v>
      </c>
      <c r="D77" s="197">
        <v>15101.7253848908</v>
      </c>
      <c r="E77" s="197">
        <v>21567.276405298962</v>
      </c>
      <c r="F77" s="197">
        <v>17922.9615364943</v>
      </c>
      <c r="G77" s="197">
        <v>16343.758426678944</v>
      </c>
      <c r="H77" s="197" t="s">
        <v>259</v>
      </c>
      <c r="I77" s="197">
        <v>13974.95376195591</v>
      </c>
      <c r="J77" s="197">
        <v>17922.9615364943</v>
      </c>
    </row>
    <row r="78">
      <c r="A78" s="38"/>
      <c r="B78" s="38"/>
      <c r="C78" s="237" t="s">
        <v>243</v>
      </c>
      <c r="D78" s="197">
        <v>18398.2746151092</v>
      </c>
      <c r="E78" s="197">
        <v>14932.723594701038</v>
      </c>
      <c r="F78" s="197">
        <v>18577.0384635057</v>
      </c>
      <c r="G78" s="197">
        <v>20156.24157332106</v>
      </c>
      <c r="H78" s="197" t="s">
        <v>259</v>
      </c>
      <c r="I78" s="197">
        <v>22525.046238044088</v>
      </c>
      <c r="J78" s="197">
        <v>18577.0384635057</v>
      </c>
    </row>
    <row r="79">
      <c r="A79" s="38"/>
      <c r="B79" s="38"/>
      <c r="C79" s="237" t="s">
        <v>14</v>
      </c>
      <c r="D79" s="238">
        <v>0.45079777268330745</v>
      </c>
      <c r="E79" s="238">
        <v>0.5908842850766839</v>
      </c>
      <c r="F79" s="238">
        <v>0.4910400420957342</v>
      </c>
      <c r="G79" s="238">
        <v>0.447774203470656</v>
      </c>
      <c r="H79" s="235" t="s">
        <v>259</v>
      </c>
      <c r="I79" s="238">
        <v>0.38287544553303865</v>
      </c>
      <c r="J79" s="238">
        <v>0.4910400420957342</v>
      </c>
    </row>
    <row r="80">
      <c r="A80" s="38"/>
      <c r="B80" s="38"/>
      <c r="C80" s="235" t="s">
        <v>19</v>
      </c>
      <c r="D80" s="236">
        <v>55000.0</v>
      </c>
      <c r="E80" s="236">
        <v>55000.0</v>
      </c>
      <c r="F80" s="236">
        <v>55000.0</v>
      </c>
      <c r="G80" s="236">
        <v>55000.0</v>
      </c>
      <c r="H80" s="236" t="s">
        <v>259</v>
      </c>
      <c r="I80" s="236">
        <v>55000.0</v>
      </c>
      <c r="J80" s="236">
        <v>55000.0</v>
      </c>
    </row>
    <row r="81">
      <c r="A81" s="38"/>
      <c r="B81" s="38"/>
      <c r="C81" s="237" t="s">
        <v>241</v>
      </c>
      <c r="D81" s="197">
        <v>21258.503401360547</v>
      </c>
      <c r="E81" s="197">
        <v>34013.60544217687</v>
      </c>
      <c r="F81" s="197">
        <v>26724.975704567543</v>
      </c>
      <c r="G81" s="197">
        <v>23566.569484936834</v>
      </c>
      <c r="H81" s="197" t="s">
        <v>259</v>
      </c>
      <c r="I81" s="197">
        <v>18828.960155490768</v>
      </c>
      <c r="J81" s="197">
        <v>26724.975704567543</v>
      </c>
    </row>
    <row r="82">
      <c r="A82" s="38"/>
      <c r="B82" s="38"/>
      <c r="C82" s="237" t="s">
        <v>242</v>
      </c>
      <c r="D82" s="197">
        <v>27120.4507697816</v>
      </c>
      <c r="E82" s="197">
        <v>39963.552810597925</v>
      </c>
      <c r="F82" s="197">
        <v>32674.923072988597</v>
      </c>
      <c r="G82" s="197">
        <v>29516.516853357887</v>
      </c>
      <c r="H82" s="197" t="s">
        <v>259</v>
      </c>
      <c r="I82" s="197">
        <v>24778.90752391182</v>
      </c>
      <c r="J82" s="197">
        <v>32674.923072988597</v>
      </c>
    </row>
    <row r="83">
      <c r="A83" s="38"/>
      <c r="B83" s="38"/>
      <c r="C83" s="237" t="s">
        <v>243</v>
      </c>
      <c r="D83" s="197">
        <v>27879.5492302184</v>
      </c>
      <c r="E83" s="197">
        <v>15036.447189402075</v>
      </c>
      <c r="F83" s="197">
        <v>22325.076927011403</v>
      </c>
      <c r="G83" s="197">
        <v>25483.483146642113</v>
      </c>
      <c r="H83" s="197" t="s">
        <v>259</v>
      </c>
      <c r="I83" s="197">
        <v>30221.09247608818</v>
      </c>
      <c r="J83" s="197">
        <v>22325.076927011403</v>
      </c>
    </row>
    <row r="84">
      <c r="A84" s="38"/>
      <c r="B84" s="38"/>
      <c r="C84" s="237" t="s">
        <v>14</v>
      </c>
      <c r="D84" s="238">
        <v>0.49309910490512</v>
      </c>
      <c r="E84" s="238">
        <v>0.7266100511017805</v>
      </c>
      <c r="F84" s="238">
        <v>0.5940895104179745</v>
      </c>
      <c r="G84" s="238">
        <v>0.5366639427883252</v>
      </c>
      <c r="H84" s="235" t="s">
        <v>259</v>
      </c>
      <c r="I84" s="238">
        <v>0.4505255913438513</v>
      </c>
      <c r="J84" s="238">
        <v>0.5940895104179745</v>
      </c>
    </row>
    <row r="85">
      <c r="A85" s="240"/>
      <c r="B85" s="240"/>
      <c r="C85" s="240"/>
      <c r="D85" s="240"/>
      <c r="E85" s="240"/>
      <c r="F85" s="240"/>
      <c r="G85" s="240"/>
      <c r="H85" s="240"/>
      <c r="I85" s="240"/>
      <c r="J85" s="240"/>
    </row>
  </sheetData>
  <mergeCells count="6">
    <mergeCell ref="B2:C2"/>
    <mergeCell ref="A9:A14"/>
    <mergeCell ref="A17:A21"/>
    <mergeCell ref="A23:A28"/>
    <mergeCell ref="J23:J27"/>
    <mergeCell ref="A30:A4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34.25"/>
    <col customWidth="1" min="4" max="4" width="9.0"/>
    <col customWidth="1" min="5" max="5" width="11.5"/>
    <col customWidth="1" min="6" max="6" width="10.75"/>
    <col customWidth="1" min="7" max="7" width="10.13"/>
    <col customWidth="1" min="8" max="8" width="10.38"/>
    <col customWidth="1" min="9" max="9" width="12.63"/>
    <col customWidth="1" min="10" max="10" width="19.25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</row>
    <row r="2">
      <c r="A2" s="38"/>
      <c r="B2" s="119" t="s">
        <v>193</v>
      </c>
      <c r="C2" s="120"/>
      <c r="D2" s="38"/>
      <c r="E2" s="38"/>
      <c r="F2" s="38"/>
      <c r="G2" s="38"/>
      <c r="H2" s="38"/>
      <c r="I2" s="38"/>
      <c r="J2" s="38"/>
    </row>
    <row r="3">
      <c r="A3" s="38"/>
      <c r="B3" s="196" t="s">
        <v>194</v>
      </c>
      <c r="C3" s="196" t="s">
        <v>195</v>
      </c>
      <c r="D3" s="122" t="s">
        <v>245</v>
      </c>
      <c r="E3" s="122" t="s">
        <v>246</v>
      </c>
      <c r="F3" s="122" t="s">
        <v>247</v>
      </c>
      <c r="G3" s="122" t="s">
        <v>248</v>
      </c>
      <c r="H3" s="122" t="s">
        <v>249</v>
      </c>
      <c r="I3" s="122" t="s">
        <v>250</v>
      </c>
      <c r="J3" s="122" t="s">
        <v>251</v>
      </c>
    </row>
    <row r="4">
      <c r="A4" s="38"/>
      <c r="B4" s="197">
        <v>1.0</v>
      </c>
      <c r="C4" s="197" t="s">
        <v>201</v>
      </c>
      <c r="D4" s="197">
        <v>17500.0</v>
      </c>
      <c r="E4" s="197">
        <v>28000.0</v>
      </c>
      <c r="F4" s="197">
        <v>22000.0</v>
      </c>
      <c r="G4" s="197">
        <v>19400.0</v>
      </c>
      <c r="H4" s="197">
        <v>65000.0</v>
      </c>
      <c r="I4" s="197">
        <v>15500.0</v>
      </c>
      <c r="J4" s="197">
        <v>22000.0</v>
      </c>
    </row>
    <row r="5">
      <c r="A5" s="38"/>
      <c r="B5" s="197">
        <v>2.0</v>
      </c>
      <c r="C5" s="198" t="s">
        <v>202</v>
      </c>
      <c r="D5" s="142"/>
      <c r="E5" s="142"/>
      <c r="F5" s="142"/>
      <c r="G5" s="142"/>
      <c r="H5" s="142"/>
      <c r="I5" s="142"/>
      <c r="J5" s="142"/>
    </row>
    <row r="6">
      <c r="A6" s="38"/>
      <c r="B6" s="197">
        <v>3.0</v>
      </c>
      <c r="C6" s="199" t="s">
        <v>252</v>
      </c>
      <c r="D6" s="200">
        <v>21258.503401360547</v>
      </c>
      <c r="E6" s="200">
        <v>34013.60544217687</v>
      </c>
      <c r="F6" s="200">
        <v>26724.975704567543</v>
      </c>
      <c r="G6" s="200">
        <v>23566.569484936834</v>
      </c>
      <c r="H6" s="200">
        <v>78960.15549076775</v>
      </c>
      <c r="I6" s="200">
        <v>18828.960155490768</v>
      </c>
      <c r="J6" s="201">
        <v>26724.975704567543</v>
      </c>
    </row>
    <row r="7">
      <c r="A7" s="38"/>
      <c r="B7" s="197">
        <v>4.0</v>
      </c>
      <c r="C7" s="202" t="s">
        <v>204</v>
      </c>
      <c r="D7" s="203" t="str">
        <f>O12</f>
        <v/>
      </c>
      <c r="E7" s="203" t="str">
        <f>O12</f>
        <v/>
      </c>
      <c r="F7" s="203" t="str">
        <f>O12</f>
        <v/>
      </c>
      <c r="G7" s="203" t="str">
        <f>O12</f>
        <v/>
      </c>
      <c r="H7" s="203" t="str">
        <f>O12</f>
        <v/>
      </c>
      <c r="I7" s="203" t="str">
        <f>O12</f>
        <v/>
      </c>
      <c r="J7" s="203" t="str">
        <f>O12</f>
        <v/>
      </c>
    </row>
    <row r="8">
      <c r="A8" s="38"/>
      <c r="B8" s="197">
        <v>5.0</v>
      </c>
      <c r="C8" s="204" t="s">
        <v>205</v>
      </c>
      <c r="D8" s="198">
        <v>0.0</v>
      </c>
      <c r="E8" s="198">
        <v>0.0</v>
      </c>
      <c r="F8" s="198">
        <v>0.0</v>
      </c>
      <c r="G8" s="198">
        <v>0.0</v>
      </c>
      <c r="H8" s="198">
        <v>0.0</v>
      </c>
      <c r="I8" s="198">
        <v>0.0</v>
      </c>
      <c r="J8" s="198">
        <v>0.0</v>
      </c>
    </row>
    <row r="9">
      <c r="A9" s="134" t="s">
        <v>206</v>
      </c>
      <c r="B9" s="197">
        <v>6.0</v>
      </c>
      <c r="C9" s="205" t="s">
        <v>207</v>
      </c>
      <c r="D9" s="196">
        <f t="shared" ref="D9:J9" si="1">SUM(D10:D14)</f>
        <v>2324</v>
      </c>
      <c r="E9" s="196">
        <f t="shared" si="1"/>
        <v>2324</v>
      </c>
      <c r="F9" s="196">
        <f t="shared" si="1"/>
        <v>2324</v>
      </c>
      <c r="G9" s="196">
        <f t="shared" si="1"/>
        <v>2324</v>
      </c>
      <c r="H9" s="196">
        <f t="shared" si="1"/>
        <v>2324</v>
      </c>
      <c r="I9" s="196">
        <f t="shared" si="1"/>
        <v>2324</v>
      </c>
      <c r="J9" s="196">
        <f t="shared" si="1"/>
        <v>2324</v>
      </c>
    </row>
    <row r="10">
      <c r="A10" s="137"/>
      <c r="B10" s="197">
        <v>7.0</v>
      </c>
      <c r="C10" s="206" t="s">
        <v>253</v>
      </c>
      <c r="D10" s="203">
        <v>2000.0</v>
      </c>
      <c r="E10" s="203">
        <v>2000.0</v>
      </c>
      <c r="F10" s="203">
        <v>2000.0</v>
      </c>
      <c r="G10" s="203">
        <v>2000.0</v>
      </c>
      <c r="H10" s="203">
        <v>2000.0</v>
      </c>
      <c r="I10" s="203">
        <v>2000.0</v>
      </c>
      <c r="J10" s="203">
        <v>2000.0</v>
      </c>
    </row>
    <row r="11">
      <c r="A11" s="137"/>
      <c r="B11" s="197">
        <v>8.0</v>
      </c>
      <c r="C11" s="207" t="s">
        <v>209</v>
      </c>
      <c r="D11" s="197">
        <v>173.0</v>
      </c>
      <c r="E11" s="197">
        <v>173.0</v>
      </c>
      <c r="F11" s="197">
        <v>173.0</v>
      </c>
      <c r="G11" s="197">
        <v>173.0</v>
      </c>
      <c r="H11" s="197">
        <v>173.0</v>
      </c>
      <c r="I11" s="197">
        <v>173.0</v>
      </c>
      <c r="J11" s="197">
        <v>173.0</v>
      </c>
    </row>
    <row r="12">
      <c r="A12" s="137"/>
      <c r="B12" s="197">
        <v>9.0</v>
      </c>
      <c r="C12" s="207" t="s">
        <v>210</v>
      </c>
      <c r="D12" s="197">
        <v>100.0</v>
      </c>
      <c r="E12" s="197">
        <v>100.0</v>
      </c>
      <c r="F12" s="197">
        <v>100.0</v>
      </c>
      <c r="G12" s="197">
        <v>100.0</v>
      </c>
      <c r="H12" s="197">
        <v>100.0</v>
      </c>
      <c r="I12" s="197">
        <v>100.0</v>
      </c>
      <c r="J12" s="197">
        <v>100.0</v>
      </c>
    </row>
    <row r="13">
      <c r="A13" s="137"/>
      <c r="B13" s="197">
        <v>10.0</v>
      </c>
      <c r="C13" s="207" t="s">
        <v>211</v>
      </c>
      <c r="D13" s="197">
        <v>25.0</v>
      </c>
      <c r="E13" s="197">
        <v>25.0</v>
      </c>
      <c r="F13" s="197">
        <v>25.0</v>
      </c>
      <c r="G13" s="197">
        <v>25.0</v>
      </c>
      <c r="H13" s="197">
        <v>25.0</v>
      </c>
      <c r="I13" s="197">
        <v>25.0</v>
      </c>
      <c r="J13" s="197">
        <v>25.0</v>
      </c>
    </row>
    <row r="14">
      <c r="A14" s="137"/>
      <c r="B14" s="197">
        <v>11.0</v>
      </c>
      <c r="C14" s="208" t="s">
        <v>212</v>
      </c>
      <c r="D14" s="197">
        <v>26.0</v>
      </c>
      <c r="E14" s="197">
        <v>26.0</v>
      </c>
      <c r="F14" s="197">
        <v>26.0</v>
      </c>
      <c r="G14" s="197">
        <v>26.0</v>
      </c>
      <c r="H14" s="197">
        <v>26.0</v>
      </c>
      <c r="I14" s="197">
        <v>26.0</v>
      </c>
      <c r="J14" s="197">
        <v>26.0</v>
      </c>
    </row>
    <row r="15">
      <c r="A15" s="141" t="s">
        <v>213</v>
      </c>
      <c r="B15" s="197">
        <v>12.0</v>
      </c>
      <c r="C15" s="205" t="s">
        <v>214</v>
      </c>
      <c r="D15" s="196">
        <v>652.0</v>
      </c>
      <c r="E15" s="196">
        <v>652.0</v>
      </c>
      <c r="F15" s="196">
        <v>652.0</v>
      </c>
      <c r="G15" s="196">
        <v>652.0</v>
      </c>
      <c r="H15" s="196">
        <v>652.0</v>
      </c>
      <c r="I15" s="196">
        <v>652.0</v>
      </c>
      <c r="J15" s="196">
        <v>652.0</v>
      </c>
    </row>
    <row r="16">
      <c r="A16" s="38"/>
      <c r="B16" s="197">
        <v>13.0</v>
      </c>
      <c r="C16" s="142"/>
      <c r="D16" s="142"/>
      <c r="E16" s="142"/>
      <c r="F16" s="142"/>
      <c r="G16" s="142"/>
      <c r="H16" s="142"/>
      <c r="I16" s="142"/>
      <c r="J16" s="142"/>
    </row>
    <row r="17">
      <c r="A17" s="141" t="s">
        <v>254</v>
      </c>
      <c r="B17" s="197">
        <v>14.0</v>
      </c>
      <c r="C17" s="209" t="s">
        <v>216</v>
      </c>
      <c r="D17" s="210">
        <f t="shared" ref="D17:J17" si="2">D6*0.08</f>
        <v>1700.680272</v>
      </c>
      <c r="E17" s="210">
        <f t="shared" si="2"/>
        <v>2721.088435</v>
      </c>
      <c r="F17" s="210">
        <f t="shared" si="2"/>
        <v>2137.998056</v>
      </c>
      <c r="G17" s="210">
        <f t="shared" si="2"/>
        <v>1885.325559</v>
      </c>
      <c r="H17" s="210">
        <f t="shared" si="2"/>
        <v>6316.812439</v>
      </c>
      <c r="I17" s="210">
        <f t="shared" si="2"/>
        <v>1506.316812</v>
      </c>
      <c r="J17" s="211">
        <f t="shared" si="2"/>
        <v>2137.998056</v>
      </c>
    </row>
    <row r="18">
      <c r="B18" s="145"/>
      <c r="C18" s="209" t="s">
        <v>217</v>
      </c>
      <c r="D18" s="210">
        <v>198.0</v>
      </c>
      <c r="E18" s="210">
        <v>198.0</v>
      </c>
      <c r="F18" s="210">
        <v>198.0</v>
      </c>
      <c r="G18" s="210">
        <v>198.0</v>
      </c>
      <c r="H18" s="210">
        <v>198.0</v>
      </c>
      <c r="I18" s="210">
        <v>198.0</v>
      </c>
      <c r="J18" s="211">
        <v>198.0</v>
      </c>
    </row>
    <row r="19">
      <c r="B19" s="197">
        <v>15.0</v>
      </c>
      <c r="C19" s="212" t="s">
        <v>218</v>
      </c>
      <c r="D19" s="197">
        <v>957.0</v>
      </c>
      <c r="E19" s="197">
        <v>957.0</v>
      </c>
      <c r="F19" s="197">
        <v>957.0</v>
      </c>
      <c r="G19" s="197">
        <v>957.0</v>
      </c>
      <c r="H19" s="197">
        <v>957.0</v>
      </c>
      <c r="I19" s="197">
        <v>957.0</v>
      </c>
      <c r="J19" s="213">
        <v>957.0</v>
      </c>
    </row>
    <row r="20">
      <c r="B20" s="197">
        <v>16.0</v>
      </c>
      <c r="C20" s="214" t="s">
        <v>219</v>
      </c>
      <c r="D20" s="198">
        <v>275.0</v>
      </c>
      <c r="E20" s="198">
        <v>275.0</v>
      </c>
      <c r="F20" s="198">
        <v>275.0</v>
      </c>
      <c r="G20" s="198">
        <v>275.0</v>
      </c>
      <c r="H20" s="198">
        <v>275.0</v>
      </c>
      <c r="I20" s="198">
        <v>275.0</v>
      </c>
      <c r="J20" s="215">
        <v>275.0</v>
      </c>
    </row>
    <row r="21">
      <c r="B21" s="197">
        <v>19.0</v>
      </c>
      <c r="C21" s="216" t="s">
        <v>220</v>
      </c>
      <c r="D21" s="217">
        <f t="shared" ref="D21:J21" si="3">SUM(D17:D20)</f>
        <v>3130.680272</v>
      </c>
      <c r="E21" s="217">
        <f t="shared" si="3"/>
        <v>4151.088435</v>
      </c>
      <c r="F21" s="217">
        <f t="shared" si="3"/>
        <v>3567.998056</v>
      </c>
      <c r="G21" s="217">
        <f t="shared" si="3"/>
        <v>3315.325559</v>
      </c>
      <c r="H21" s="217">
        <f t="shared" si="3"/>
        <v>7746.812439</v>
      </c>
      <c r="I21" s="217">
        <f t="shared" si="3"/>
        <v>2936.316812</v>
      </c>
      <c r="J21" s="218">
        <f t="shared" si="3"/>
        <v>3567.998056</v>
      </c>
    </row>
    <row r="22">
      <c r="A22" s="38"/>
      <c r="B22" s="197">
        <v>20.0</v>
      </c>
      <c r="C22" s="154"/>
      <c r="D22" s="155"/>
      <c r="E22" s="155"/>
      <c r="F22" s="155"/>
      <c r="G22" s="155"/>
      <c r="H22" s="155"/>
      <c r="I22" s="155"/>
      <c r="J22" s="156"/>
    </row>
    <row r="23">
      <c r="A23" s="157" t="s">
        <v>221</v>
      </c>
      <c r="B23" s="197">
        <v>21.0</v>
      </c>
      <c r="C23" s="209" t="s">
        <v>217</v>
      </c>
      <c r="D23" s="210">
        <v>198.0</v>
      </c>
      <c r="E23" s="210">
        <v>198.0</v>
      </c>
      <c r="F23" s="210">
        <v>198.0</v>
      </c>
      <c r="G23" s="210">
        <v>198.0</v>
      </c>
      <c r="H23" s="210">
        <v>198.0</v>
      </c>
      <c r="I23" s="210">
        <v>198.0</v>
      </c>
      <c r="J23" s="158" t="s">
        <v>222</v>
      </c>
    </row>
    <row r="24">
      <c r="A24" s="137"/>
      <c r="B24" s="197">
        <v>22.0</v>
      </c>
      <c r="C24" s="212" t="s">
        <v>218</v>
      </c>
      <c r="D24" s="197">
        <v>957.0</v>
      </c>
      <c r="E24" s="197">
        <v>957.0</v>
      </c>
      <c r="F24" s="197">
        <v>957.0</v>
      </c>
      <c r="G24" s="197">
        <v>957.0</v>
      </c>
      <c r="H24" s="197">
        <v>957.0</v>
      </c>
      <c r="I24" s="197">
        <v>957.0</v>
      </c>
      <c r="J24" s="159"/>
    </row>
    <row r="25">
      <c r="A25" s="137"/>
      <c r="B25" s="197">
        <v>23.0</v>
      </c>
      <c r="C25" s="214" t="s">
        <v>219</v>
      </c>
      <c r="D25" s="198">
        <v>275.0</v>
      </c>
      <c r="E25" s="198">
        <v>275.0</v>
      </c>
      <c r="F25" s="198">
        <v>275.0</v>
      </c>
      <c r="G25" s="198">
        <v>275.0</v>
      </c>
      <c r="H25" s="198">
        <v>275.0</v>
      </c>
      <c r="I25" s="198">
        <v>275.0</v>
      </c>
      <c r="J25" s="159"/>
    </row>
    <row r="26">
      <c r="A26" s="137"/>
      <c r="B26" s="197">
        <v>24.0</v>
      </c>
      <c r="C26" s="214" t="s">
        <v>223</v>
      </c>
      <c r="D26" s="198">
        <v>1600.0</v>
      </c>
      <c r="E26" s="198">
        <v>1600.0</v>
      </c>
      <c r="F26" s="198">
        <v>1600.0</v>
      </c>
      <c r="G26" s="198">
        <v>1600.0</v>
      </c>
      <c r="H26" s="198">
        <v>1600.0</v>
      </c>
      <c r="I26" s="198">
        <v>1600.0</v>
      </c>
      <c r="J26" s="159"/>
    </row>
    <row r="27">
      <c r="A27" s="137"/>
      <c r="B27" s="197">
        <v>25.0</v>
      </c>
      <c r="C27" s="214" t="s">
        <v>224</v>
      </c>
      <c r="D27" s="198">
        <v>1600.0</v>
      </c>
      <c r="E27" s="198">
        <v>1600.0</v>
      </c>
      <c r="F27" s="198">
        <v>1600.0</v>
      </c>
      <c r="G27" s="198">
        <v>1600.0</v>
      </c>
      <c r="H27" s="198">
        <v>1600.0</v>
      </c>
      <c r="I27" s="198">
        <v>1600.0</v>
      </c>
      <c r="J27" s="160"/>
    </row>
    <row r="28">
      <c r="A28" s="137"/>
      <c r="B28" s="197">
        <v>26.0</v>
      </c>
      <c r="C28" s="216" t="s">
        <v>220</v>
      </c>
      <c r="D28" s="217">
        <v>2868.2896015549077</v>
      </c>
      <c r="E28" s="217">
        <f t="shared" ref="E28:I28" si="4">E21</f>
        <v>4151.088435</v>
      </c>
      <c r="F28" s="220">
        <f t="shared" si="4"/>
        <v>3567.998056</v>
      </c>
      <c r="G28" s="217">
        <f t="shared" si="4"/>
        <v>3315.325559</v>
      </c>
      <c r="H28" s="217">
        <f t="shared" si="4"/>
        <v>7746.812439</v>
      </c>
      <c r="I28" s="217">
        <f t="shared" si="4"/>
        <v>2936.316812</v>
      </c>
      <c r="J28" s="221">
        <f>SUM(D28:I28,I26:I27)</f>
        <v>27785.8309</v>
      </c>
    </row>
    <row r="29">
      <c r="A29" s="38"/>
      <c r="B29" s="163"/>
      <c r="C29" s="164"/>
      <c r="D29" s="155"/>
      <c r="E29" s="155"/>
      <c r="F29" s="164"/>
      <c r="G29" s="155"/>
      <c r="H29" s="155"/>
      <c r="I29" s="155"/>
      <c r="J29" s="165"/>
    </row>
    <row r="30">
      <c r="A30" s="134" t="s">
        <v>225</v>
      </c>
      <c r="B30" s="197">
        <v>20.0</v>
      </c>
      <c r="C30" s="222" t="s">
        <v>226</v>
      </c>
      <c r="D30" s="223">
        <v>759.0</v>
      </c>
      <c r="E30" s="223">
        <v>759.0</v>
      </c>
      <c r="F30" s="223">
        <v>759.0</v>
      </c>
      <c r="G30" s="223">
        <v>759.0</v>
      </c>
      <c r="H30" s="223">
        <v>759.0</v>
      </c>
      <c r="I30" s="223">
        <v>759.0</v>
      </c>
      <c r="J30" s="224">
        <v>759.0</v>
      </c>
    </row>
    <row r="31">
      <c r="A31" s="137"/>
      <c r="B31" s="197">
        <v>21.0</v>
      </c>
      <c r="C31" s="225" t="s">
        <v>227</v>
      </c>
      <c r="D31" s="145"/>
      <c r="E31" s="145"/>
      <c r="F31" s="145"/>
      <c r="G31" s="145"/>
      <c r="H31" s="145"/>
      <c r="I31" s="145"/>
      <c r="J31" s="226">
        <v>0.0</v>
      </c>
    </row>
    <row r="32">
      <c r="A32" s="137"/>
      <c r="B32" s="197">
        <v>22.0</v>
      </c>
      <c r="C32" s="227" t="s">
        <v>220</v>
      </c>
      <c r="D32" s="196">
        <f t="shared" ref="D32:J32" si="5">SUM(D30:D31)</f>
        <v>759</v>
      </c>
      <c r="E32" s="196">
        <f t="shared" si="5"/>
        <v>759</v>
      </c>
      <c r="F32" s="196">
        <f t="shared" si="5"/>
        <v>759</v>
      </c>
      <c r="G32" s="196">
        <f t="shared" si="5"/>
        <v>759</v>
      </c>
      <c r="H32" s="196">
        <f t="shared" si="5"/>
        <v>759</v>
      </c>
      <c r="I32" s="196">
        <f t="shared" si="5"/>
        <v>759</v>
      </c>
      <c r="J32" s="228">
        <f t="shared" si="5"/>
        <v>759</v>
      </c>
    </row>
    <row r="33">
      <c r="A33" s="137"/>
      <c r="B33" s="197">
        <v>23.0</v>
      </c>
      <c r="C33" s="229" t="s">
        <v>228</v>
      </c>
      <c r="D33" s="197">
        <v>814.0</v>
      </c>
      <c r="E33" s="197">
        <v>814.0</v>
      </c>
      <c r="F33" s="197">
        <v>814.0</v>
      </c>
      <c r="G33" s="197">
        <v>814.0</v>
      </c>
      <c r="H33" s="197">
        <v>814.0</v>
      </c>
      <c r="I33" s="197">
        <v>814.0</v>
      </c>
      <c r="J33" s="226">
        <v>814.0</v>
      </c>
    </row>
    <row r="34">
      <c r="A34" s="137"/>
      <c r="B34" s="197">
        <v>24.0</v>
      </c>
      <c r="C34" s="225" t="s">
        <v>229</v>
      </c>
      <c r="D34" s="145"/>
      <c r="E34" s="145"/>
      <c r="F34" s="145"/>
      <c r="G34" s="145"/>
      <c r="H34" s="145"/>
      <c r="I34" s="145"/>
      <c r="J34" s="170"/>
    </row>
    <row r="35">
      <c r="A35" s="137"/>
      <c r="B35" s="197">
        <v>25.0</v>
      </c>
      <c r="C35" s="227" t="s">
        <v>220</v>
      </c>
      <c r="D35" s="196">
        <f t="shared" ref="D35:J35" si="6">SUM(D33:D34)</f>
        <v>814</v>
      </c>
      <c r="E35" s="196">
        <f t="shared" si="6"/>
        <v>814</v>
      </c>
      <c r="F35" s="196">
        <f t="shared" si="6"/>
        <v>814</v>
      </c>
      <c r="G35" s="196">
        <f t="shared" si="6"/>
        <v>814</v>
      </c>
      <c r="H35" s="196">
        <f t="shared" si="6"/>
        <v>814</v>
      </c>
      <c r="I35" s="196">
        <f t="shared" si="6"/>
        <v>814</v>
      </c>
      <c r="J35" s="228">
        <f t="shared" si="6"/>
        <v>814</v>
      </c>
    </row>
    <row r="36">
      <c r="A36" s="137"/>
      <c r="B36" s="197">
        <v>26.0</v>
      </c>
      <c r="C36" s="229" t="s">
        <v>230</v>
      </c>
      <c r="D36" s="197">
        <v>814.0</v>
      </c>
      <c r="E36" s="197">
        <v>814.0</v>
      </c>
      <c r="F36" s="197">
        <v>814.0</v>
      </c>
      <c r="G36" s="197">
        <v>814.0</v>
      </c>
      <c r="H36" s="197">
        <v>814.0</v>
      </c>
      <c r="I36" s="197">
        <v>814.0</v>
      </c>
      <c r="J36" s="226">
        <v>814.0</v>
      </c>
    </row>
    <row r="37">
      <c r="A37" s="137"/>
      <c r="B37" s="197">
        <v>27.0</v>
      </c>
      <c r="C37" s="225" t="s">
        <v>229</v>
      </c>
      <c r="D37" s="145"/>
      <c r="E37" s="145"/>
      <c r="F37" s="145"/>
      <c r="G37" s="145"/>
      <c r="H37" s="145"/>
      <c r="I37" s="145"/>
      <c r="J37" s="170"/>
    </row>
    <row r="38">
      <c r="A38" s="137"/>
      <c r="B38" s="197">
        <v>28.0</v>
      </c>
      <c r="C38" s="227" t="s">
        <v>220</v>
      </c>
      <c r="D38" s="196">
        <f t="shared" ref="D38:J38" si="7">SUM(D36:D37)</f>
        <v>814</v>
      </c>
      <c r="E38" s="196">
        <f t="shared" si="7"/>
        <v>814</v>
      </c>
      <c r="F38" s="196">
        <f t="shared" si="7"/>
        <v>814</v>
      </c>
      <c r="G38" s="196">
        <f t="shared" si="7"/>
        <v>814</v>
      </c>
      <c r="H38" s="196">
        <f t="shared" si="7"/>
        <v>814</v>
      </c>
      <c r="I38" s="196">
        <f t="shared" si="7"/>
        <v>814</v>
      </c>
      <c r="J38" s="228">
        <f t="shared" si="7"/>
        <v>814</v>
      </c>
    </row>
    <row r="39">
      <c r="A39" s="137"/>
      <c r="B39" s="197">
        <v>29.0</v>
      </c>
      <c r="C39" s="225" t="s">
        <v>231</v>
      </c>
      <c r="D39" s="197">
        <v>781.0</v>
      </c>
      <c r="E39" s="197">
        <v>781.0</v>
      </c>
      <c r="F39" s="197">
        <v>781.0</v>
      </c>
      <c r="G39" s="197">
        <v>781.0</v>
      </c>
      <c r="H39" s="197">
        <v>781.0</v>
      </c>
      <c r="I39" s="197">
        <v>781.0</v>
      </c>
      <c r="J39" s="226">
        <v>781.0</v>
      </c>
    </row>
    <row r="40">
      <c r="A40" s="137"/>
      <c r="B40" s="197">
        <v>30.0</v>
      </c>
      <c r="C40" s="225" t="s">
        <v>232</v>
      </c>
      <c r="D40" s="145"/>
      <c r="E40" s="145"/>
      <c r="F40" s="145"/>
      <c r="G40" s="145"/>
      <c r="H40" s="145"/>
      <c r="I40" s="145"/>
      <c r="J40" s="170"/>
    </row>
    <row r="41">
      <c r="A41" s="137"/>
      <c r="B41" s="197">
        <v>31.0</v>
      </c>
      <c r="C41" s="227" t="s">
        <v>220</v>
      </c>
      <c r="D41" s="196">
        <f t="shared" ref="D41:J41" si="8">SUM(D39:D40)</f>
        <v>781</v>
      </c>
      <c r="E41" s="196">
        <f t="shared" si="8"/>
        <v>781</v>
      </c>
      <c r="F41" s="196">
        <f t="shared" si="8"/>
        <v>781</v>
      </c>
      <c r="G41" s="196">
        <f t="shared" si="8"/>
        <v>781</v>
      </c>
      <c r="H41" s="196">
        <f t="shared" si="8"/>
        <v>781</v>
      </c>
      <c r="I41" s="196">
        <f t="shared" si="8"/>
        <v>781</v>
      </c>
      <c r="J41" s="228">
        <f t="shared" si="8"/>
        <v>781</v>
      </c>
    </row>
    <row r="42">
      <c r="A42" s="137"/>
      <c r="B42" s="197">
        <v>32.0</v>
      </c>
      <c r="C42" s="229" t="s">
        <v>233</v>
      </c>
      <c r="D42" s="197">
        <v>759.0</v>
      </c>
      <c r="E42" s="197">
        <v>847.0</v>
      </c>
      <c r="F42" s="197">
        <v>847.0</v>
      </c>
      <c r="G42" s="197">
        <v>847.0</v>
      </c>
      <c r="H42" s="197">
        <v>847.0</v>
      </c>
      <c r="I42" s="197">
        <v>847.0</v>
      </c>
      <c r="J42" s="226">
        <v>847.0</v>
      </c>
    </row>
    <row r="43">
      <c r="A43" s="137"/>
      <c r="B43" s="197">
        <v>33.0</v>
      </c>
      <c r="C43" s="225" t="s">
        <v>232</v>
      </c>
      <c r="D43" s="145"/>
      <c r="E43" s="145"/>
      <c r="F43" s="145"/>
      <c r="G43" s="145"/>
      <c r="H43" s="145"/>
      <c r="I43" s="145"/>
      <c r="J43" s="170"/>
    </row>
    <row r="44">
      <c r="A44" s="137"/>
      <c r="B44" s="197">
        <v>34.0</v>
      </c>
      <c r="C44" s="230" t="s">
        <v>220</v>
      </c>
      <c r="D44" s="231">
        <f t="shared" ref="D44:J44" si="9">SUM(D42:D43)</f>
        <v>759</v>
      </c>
      <c r="E44" s="231">
        <f t="shared" si="9"/>
        <v>847</v>
      </c>
      <c r="F44" s="231">
        <f t="shared" si="9"/>
        <v>847</v>
      </c>
      <c r="G44" s="231">
        <f t="shared" si="9"/>
        <v>847</v>
      </c>
      <c r="H44" s="231">
        <f t="shared" si="9"/>
        <v>847</v>
      </c>
      <c r="I44" s="231">
        <f t="shared" si="9"/>
        <v>847</v>
      </c>
      <c r="J44" s="232">
        <f t="shared" si="9"/>
        <v>847</v>
      </c>
    </row>
    <row r="45">
      <c r="A45" s="38"/>
      <c r="B45" s="145"/>
      <c r="C45" s="178"/>
      <c r="D45" s="178"/>
      <c r="E45" s="178"/>
      <c r="F45" s="178"/>
      <c r="G45" s="178"/>
      <c r="H45" s="178"/>
      <c r="I45" s="178"/>
      <c r="J45" s="178"/>
    </row>
    <row r="46">
      <c r="A46" s="38"/>
      <c r="B46" s="145"/>
      <c r="C46" s="207" t="s">
        <v>234</v>
      </c>
      <c r="D46" s="145"/>
      <c r="E46" s="145"/>
      <c r="F46" s="145"/>
      <c r="G46" s="145"/>
      <c r="H46" s="145"/>
      <c r="I46" s="145"/>
      <c r="J46" s="145"/>
    </row>
    <row r="47">
      <c r="A47" s="38"/>
      <c r="B47" s="145"/>
      <c r="C47" s="145"/>
      <c r="D47" s="145"/>
      <c r="E47" s="145"/>
      <c r="F47" s="145"/>
      <c r="G47" s="145"/>
      <c r="H47" s="145"/>
      <c r="I47" s="145"/>
      <c r="J47" s="145"/>
    </row>
    <row r="48">
      <c r="A48" s="38"/>
      <c r="B48" s="145"/>
      <c r="C48" s="38"/>
      <c r="D48" s="145"/>
      <c r="E48" s="145"/>
      <c r="F48" s="145"/>
      <c r="G48" s="145"/>
      <c r="H48" s="145"/>
      <c r="I48" s="145"/>
      <c r="J48" s="145"/>
    </row>
    <row r="49">
      <c r="A49" s="38"/>
      <c r="B49" s="145"/>
      <c r="C49" s="145"/>
      <c r="D49" s="145"/>
      <c r="E49" s="145"/>
      <c r="F49" s="145"/>
      <c r="G49" s="145"/>
      <c r="H49" s="145"/>
      <c r="I49" s="145"/>
      <c r="J49" s="145"/>
    </row>
    <row r="50">
      <c r="A50" s="38"/>
      <c r="B50" s="145"/>
      <c r="C50" s="145"/>
      <c r="D50" s="145"/>
      <c r="E50" s="145"/>
      <c r="F50" s="145"/>
      <c r="G50" s="145"/>
      <c r="H50" s="145"/>
      <c r="I50" s="145"/>
      <c r="J50" s="145"/>
    </row>
    <row r="51">
      <c r="A51" s="38"/>
      <c r="B51" s="145"/>
      <c r="C51" s="145"/>
      <c r="D51" s="145"/>
      <c r="E51" s="145"/>
      <c r="F51" s="145"/>
      <c r="G51" s="145"/>
      <c r="H51" s="145"/>
      <c r="I51" s="145"/>
      <c r="J51" s="145"/>
    </row>
    <row r="52">
      <c r="A52" s="38"/>
      <c r="B52" s="145"/>
      <c r="C52" s="145"/>
      <c r="D52" s="145"/>
      <c r="E52" s="145"/>
      <c r="F52" s="145"/>
      <c r="G52" s="145"/>
      <c r="H52" s="145"/>
      <c r="I52" s="145"/>
      <c r="J52" s="145"/>
    </row>
    <row r="53">
      <c r="A53" s="38"/>
      <c r="B53" s="145"/>
      <c r="C53" s="233" t="s">
        <v>235</v>
      </c>
      <c r="D53" s="197">
        <f t="shared" ref="D53:J53" si="10">SUM(D6:D9)</f>
        <v>23582.5034</v>
      </c>
      <c r="E53" s="197">
        <f t="shared" si="10"/>
        <v>36337.60544</v>
      </c>
      <c r="F53" s="197">
        <f t="shared" si="10"/>
        <v>29048.9757</v>
      </c>
      <c r="G53" s="197">
        <f t="shared" si="10"/>
        <v>25890.56948</v>
      </c>
      <c r="H53" s="197">
        <f t="shared" si="10"/>
        <v>81284.15549</v>
      </c>
      <c r="I53" s="197">
        <f t="shared" si="10"/>
        <v>21152.96016</v>
      </c>
      <c r="J53" s="197">
        <f t="shared" si="10"/>
        <v>29048.9757</v>
      </c>
    </row>
    <row r="54">
      <c r="A54" s="38"/>
      <c r="B54" s="38"/>
      <c r="C54" s="38"/>
      <c r="D54" s="234" t="s">
        <v>3</v>
      </c>
      <c r="E54" s="241" t="s">
        <v>4</v>
      </c>
      <c r="F54" s="241" t="s">
        <v>5</v>
      </c>
      <c r="G54" s="241" t="s">
        <v>6</v>
      </c>
      <c r="H54" s="242" t="s">
        <v>7</v>
      </c>
      <c r="I54" s="241" t="s">
        <v>8</v>
      </c>
      <c r="J54" s="241" t="s">
        <v>9</v>
      </c>
    </row>
    <row r="55">
      <c r="A55" s="38"/>
      <c r="B55" s="38"/>
      <c r="C55" s="235" t="s">
        <v>10</v>
      </c>
      <c r="D55" s="243">
        <v>11000.0</v>
      </c>
      <c r="E55" s="243">
        <v>13000.0</v>
      </c>
      <c r="F55" s="243">
        <v>12000.0</v>
      </c>
      <c r="G55" s="243">
        <v>11500.0</v>
      </c>
      <c r="H55" s="243">
        <v>21000.0</v>
      </c>
      <c r="I55" s="243">
        <v>10000.0</v>
      </c>
      <c r="J55" s="243">
        <v>12000.0</v>
      </c>
    </row>
    <row r="56">
      <c r="A56" s="38"/>
      <c r="B56" s="38"/>
      <c r="C56" s="244" t="s">
        <v>11</v>
      </c>
      <c r="D56" s="197">
        <v>2125.850340136055</v>
      </c>
      <c r="E56" s="197">
        <v>3401.360544217687</v>
      </c>
      <c r="F56" s="197">
        <v>2672.497570456754</v>
      </c>
      <c r="G56" s="197">
        <v>2356.6569484936836</v>
      </c>
      <c r="H56" s="197">
        <v>7896.015549076775</v>
      </c>
      <c r="I56" s="197">
        <v>1882.8960155490768</v>
      </c>
      <c r="J56" s="197">
        <v>2672.497570456754</v>
      </c>
    </row>
    <row r="57">
      <c r="A57" s="38"/>
      <c r="B57" s="38"/>
      <c r="C57" s="244" t="s">
        <v>12</v>
      </c>
      <c r="D57" s="197">
        <v>5486.745076978161</v>
      </c>
      <c r="E57" s="197">
        <v>6762.255281059793</v>
      </c>
      <c r="F57" s="197">
        <v>6033.39230729886</v>
      </c>
      <c r="G57" s="197">
        <v>5717.551685335789</v>
      </c>
      <c r="H57" s="197">
        <v>11256.910285918879</v>
      </c>
      <c r="I57" s="197">
        <v>5243.790752391182</v>
      </c>
      <c r="J57" s="197">
        <v>6033.39230729886</v>
      </c>
    </row>
    <row r="58">
      <c r="A58" s="38"/>
      <c r="B58" s="38"/>
      <c r="C58" s="244" t="s">
        <v>13</v>
      </c>
      <c r="D58" s="197">
        <v>5513.254923021839</v>
      </c>
      <c r="E58" s="197">
        <v>6237.744718940207</v>
      </c>
      <c r="F58" s="197">
        <v>5966.60769270114</v>
      </c>
      <c r="G58" s="197">
        <v>5782.448314664211</v>
      </c>
      <c r="H58" s="197">
        <v>9743.089714081121</v>
      </c>
      <c r="I58" s="197">
        <v>4756.209247608818</v>
      </c>
      <c r="J58" s="197">
        <v>5966.60769270114</v>
      </c>
    </row>
    <row r="59">
      <c r="A59" s="38"/>
      <c r="B59" s="38"/>
      <c r="C59" s="237" t="s">
        <v>14</v>
      </c>
      <c r="D59" s="238">
        <v>0.4987950069980146</v>
      </c>
      <c r="E59" s="238">
        <v>0.5201734831584456</v>
      </c>
      <c r="F59" s="238">
        <v>0.502782692274905</v>
      </c>
      <c r="G59" s="238">
        <v>0.49717840742050345</v>
      </c>
      <c r="H59" s="238">
        <v>0.5360433469485181</v>
      </c>
      <c r="I59" s="238">
        <v>0.5243790752391182</v>
      </c>
      <c r="J59" s="238">
        <v>0.502782692274905</v>
      </c>
    </row>
    <row r="60">
      <c r="A60" s="38"/>
      <c r="B60" s="38"/>
      <c r="C60" s="235" t="s">
        <v>15</v>
      </c>
      <c r="D60" s="243">
        <v>21000.0</v>
      </c>
      <c r="E60" s="243">
        <v>25000.0</v>
      </c>
      <c r="F60" s="243">
        <v>23000.0</v>
      </c>
      <c r="G60" s="243">
        <v>22000.0</v>
      </c>
      <c r="H60" s="243">
        <v>39000.0</v>
      </c>
      <c r="I60" s="243">
        <v>20000.0</v>
      </c>
      <c r="J60" s="243">
        <v>22000.0</v>
      </c>
    </row>
    <row r="61">
      <c r="A61" s="38"/>
      <c r="B61" s="38"/>
      <c r="C61" s="244" t="s">
        <v>11</v>
      </c>
      <c r="D61" s="197">
        <v>4251.70068027211</v>
      </c>
      <c r="E61" s="197">
        <v>6802.721088435374</v>
      </c>
      <c r="F61" s="197">
        <v>5344.995140913508</v>
      </c>
      <c r="G61" s="197">
        <v>4713.313896987367</v>
      </c>
      <c r="H61" s="197">
        <v>15792.03109815355</v>
      </c>
      <c r="I61" s="197">
        <v>3765.7920310981535</v>
      </c>
      <c r="J61" s="197">
        <v>5344.995140913508</v>
      </c>
    </row>
    <row r="62">
      <c r="A62" s="38"/>
      <c r="B62" s="38"/>
      <c r="C62" s="244" t="s">
        <v>12</v>
      </c>
      <c r="D62" s="197">
        <v>7945.490153956321</v>
      </c>
      <c r="E62" s="197">
        <v>10496.510562119585</v>
      </c>
      <c r="F62" s="197">
        <v>9038.78461459772</v>
      </c>
      <c r="G62" s="197">
        <v>8407.103370671579</v>
      </c>
      <c r="H62" s="197">
        <v>19485.820571837758</v>
      </c>
      <c r="I62" s="197">
        <v>7459.581504782364</v>
      </c>
      <c r="J62" s="197">
        <v>9038.78461459772</v>
      </c>
    </row>
    <row r="63">
      <c r="A63" s="38"/>
      <c r="B63" s="38"/>
      <c r="C63" s="244" t="s">
        <v>13</v>
      </c>
      <c r="D63" s="197">
        <v>13054.509846043678</v>
      </c>
      <c r="E63" s="197">
        <v>14503.489437880415</v>
      </c>
      <c r="F63" s="197">
        <v>13961.21538540228</v>
      </c>
      <c r="G63" s="197">
        <v>13592.896629328421</v>
      </c>
      <c r="H63" s="197">
        <v>19514.179428162242</v>
      </c>
      <c r="I63" s="197">
        <v>12540.418495217637</v>
      </c>
      <c r="J63" s="197">
        <v>12961.21538540228</v>
      </c>
    </row>
    <row r="64">
      <c r="A64" s="38"/>
      <c r="B64" s="38"/>
      <c r="C64" s="237" t="s">
        <v>14</v>
      </c>
      <c r="D64" s="238">
        <v>0.37835667399792006</v>
      </c>
      <c r="E64" s="238">
        <v>0.4198604224847834</v>
      </c>
      <c r="F64" s="238">
        <v>0.3929906354172922</v>
      </c>
      <c r="G64" s="238">
        <v>0.38214106230325356</v>
      </c>
      <c r="H64" s="238">
        <v>0.49963642491891685</v>
      </c>
      <c r="I64" s="238">
        <v>0.3729790752391182</v>
      </c>
      <c r="J64" s="238">
        <v>0.4108538461180782</v>
      </c>
    </row>
    <row r="65">
      <c r="A65" s="38"/>
      <c r="B65" s="38"/>
      <c r="C65" s="245" t="s">
        <v>16</v>
      </c>
      <c r="D65" s="243">
        <v>30000.0</v>
      </c>
      <c r="E65" s="243">
        <v>33000.0</v>
      </c>
      <c r="F65" s="243">
        <v>32000.0</v>
      </c>
      <c r="G65" s="243">
        <v>31000.0</v>
      </c>
      <c r="H65" s="243">
        <v>50000.0</v>
      </c>
      <c r="I65" s="236">
        <v>28000.0</v>
      </c>
      <c r="J65" s="243">
        <v>31000.0</v>
      </c>
    </row>
    <row r="66">
      <c r="A66" s="38"/>
      <c r="B66" s="38"/>
      <c r="C66" s="244" t="s">
        <v>11</v>
      </c>
      <c r="D66" s="197">
        <v>6377.551020408164</v>
      </c>
      <c r="E66" s="197">
        <v>10204.08163265306</v>
      </c>
      <c r="F66" s="197">
        <v>8017.492711370262</v>
      </c>
      <c r="G66" s="197">
        <v>7069.97084548105</v>
      </c>
      <c r="H66" s="197">
        <v>23688.046647230323</v>
      </c>
      <c r="I66" s="197">
        <v>5648.68804664723</v>
      </c>
      <c r="J66" s="197">
        <v>8017.492711370262</v>
      </c>
    </row>
    <row r="67">
      <c r="A67" s="38"/>
      <c r="B67" s="38"/>
      <c r="C67" s="244" t="s">
        <v>12</v>
      </c>
      <c r="D67" s="197">
        <v>10349.235230934479</v>
      </c>
      <c r="E67" s="197">
        <v>14175.765843179375</v>
      </c>
      <c r="F67" s="197">
        <v>11989.176921896578</v>
      </c>
      <c r="G67" s="197">
        <v>11041.655056007367</v>
      </c>
      <c r="H67" s="197">
        <v>27659.73085775664</v>
      </c>
      <c r="I67" s="197">
        <v>9620.372257173545</v>
      </c>
      <c r="J67" s="197">
        <v>11989.176921896578</v>
      </c>
    </row>
    <row r="68">
      <c r="A68" s="38"/>
      <c r="B68" s="38"/>
      <c r="C68" s="244" t="s">
        <v>13</v>
      </c>
      <c r="D68" s="197">
        <v>19650.76476906552</v>
      </c>
      <c r="E68" s="197">
        <v>18824.234156820625</v>
      </c>
      <c r="F68" s="197">
        <v>20010.82307810342</v>
      </c>
      <c r="G68" s="197">
        <v>19958.344943992633</v>
      </c>
      <c r="H68" s="197">
        <v>22340.26914224336</v>
      </c>
      <c r="I68" s="197">
        <v>18379.627742826455</v>
      </c>
      <c r="J68" s="197">
        <v>19010.82307810342</v>
      </c>
    </row>
    <row r="69">
      <c r="A69" s="38"/>
      <c r="B69" s="38"/>
      <c r="C69" s="237" t="s">
        <v>14</v>
      </c>
      <c r="D69" s="238">
        <v>0.34497450769781596</v>
      </c>
      <c r="E69" s="238">
        <v>0.42956866191452653</v>
      </c>
      <c r="F69" s="238">
        <v>0.3746617788092681</v>
      </c>
      <c r="G69" s="238">
        <v>0.35618242116152793</v>
      </c>
      <c r="H69" s="238">
        <v>0.5531946171551329</v>
      </c>
      <c r="I69" s="238">
        <v>0.34358472347048374</v>
      </c>
      <c r="J69" s="238">
        <v>0.3867476426418251</v>
      </c>
    </row>
    <row r="70">
      <c r="A70" s="38"/>
      <c r="B70" s="38"/>
      <c r="C70" s="245" t="s">
        <v>17</v>
      </c>
      <c r="D70" s="243">
        <v>35000.0</v>
      </c>
      <c r="E70" s="243">
        <v>39000.0</v>
      </c>
      <c r="F70" s="243">
        <v>38000.0</v>
      </c>
      <c r="G70" s="243">
        <v>36500.0</v>
      </c>
      <c r="H70" s="243">
        <v>58000.0</v>
      </c>
      <c r="I70" s="243">
        <v>33000.0</v>
      </c>
      <c r="J70" s="243">
        <v>36500.0</v>
      </c>
    </row>
    <row r="71">
      <c r="A71" s="38"/>
      <c r="B71" s="38"/>
      <c r="C71" s="244" t="s">
        <v>11</v>
      </c>
      <c r="D71" s="197">
        <v>7227.891156462599</v>
      </c>
      <c r="E71" s="197">
        <v>11564.625850340157</v>
      </c>
      <c r="F71" s="197">
        <v>9086.491739552981</v>
      </c>
      <c r="G71" s="197">
        <v>8012.633624878537</v>
      </c>
      <c r="H71" s="197">
        <v>26846.45286686108</v>
      </c>
      <c r="I71" s="197">
        <v>6401.846452866872</v>
      </c>
      <c r="J71" s="197">
        <v>9086.491739552981</v>
      </c>
    </row>
    <row r="72">
      <c r="A72" s="38"/>
      <c r="B72" s="38"/>
      <c r="C72" s="244" t="s">
        <v>12</v>
      </c>
      <c r="D72" s="197">
        <v>11277.733261725756</v>
      </c>
      <c r="E72" s="197">
        <v>15614.467955603315</v>
      </c>
      <c r="F72" s="197">
        <v>13136.33384481614</v>
      </c>
      <c r="G72" s="197">
        <v>12062.475730141696</v>
      </c>
      <c r="H72" s="197">
        <v>30896.294972124237</v>
      </c>
      <c r="I72" s="197">
        <v>10451.68855813003</v>
      </c>
      <c r="J72" s="197">
        <v>13136.33384481614</v>
      </c>
    </row>
    <row r="73">
      <c r="A73" s="38"/>
      <c r="B73" s="38"/>
      <c r="C73" s="244" t="s">
        <v>13</v>
      </c>
      <c r="D73" s="197">
        <v>23722.266738274244</v>
      </c>
      <c r="E73" s="197">
        <v>23385.532044396685</v>
      </c>
      <c r="F73" s="197">
        <v>24863.666155183862</v>
      </c>
      <c r="G73" s="197">
        <v>24437.524269858302</v>
      </c>
      <c r="H73" s="197">
        <v>27103.705027875763</v>
      </c>
      <c r="I73" s="197">
        <v>22548.31144186997</v>
      </c>
      <c r="J73" s="197">
        <v>23363.666155183862</v>
      </c>
    </row>
    <row r="74">
      <c r="A74" s="38"/>
      <c r="B74" s="38"/>
      <c r="C74" s="237" t="s">
        <v>14</v>
      </c>
      <c r="D74" s="238">
        <v>0.3222209503350216</v>
      </c>
      <c r="E74" s="238">
        <v>0.40037097322059784</v>
      </c>
      <c r="F74" s="238">
        <v>0.3456929959162142</v>
      </c>
      <c r="G74" s="238">
        <v>0.33047878712716977</v>
      </c>
      <c r="H74" s="238">
        <v>0.5326947408986937</v>
      </c>
      <c r="I74" s="238">
        <v>0.3167178350948494</v>
      </c>
      <c r="J74" s="238">
        <v>0.359899557392223</v>
      </c>
    </row>
    <row r="75">
      <c r="A75" s="38"/>
      <c r="B75" s="38"/>
      <c r="C75" s="235" t="s">
        <v>18</v>
      </c>
      <c r="D75" s="243">
        <v>41000.0</v>
      </c>
      <c r="E75" s="243">
        <v>48000.0</v>
      </c>
      <c r="F75" s="243">
        <v>45000.0</v>
      </c>
      <c r="G75" s="236">
        <v>43000.0</v>
      </c>
      <c r="H75" s="236"/>
      <c r="I75" s="243">
        <v>39000.0</v>
      </c>
      <c r="J75" s="243">
        <v>43000.0</v>
      </c>
    </row>
    <row r="76">
      <c r="A76" s="38"/>
      <c r="B76" s="38"/>
      <c r="C76" s="244" t="s">
        <v>11</v>
      </c>
      <c r="D76" s="197">
        <v>10629.251700680274</v>
      </c>
      <c r="E76" s="197">
        <v>17006.802721088436</v>
      </c>
      <c r="F76" s="197">
        <v>13362.487852283772</v>
      </c>
      <c r="G76" s="197">
        <v>11783.284742468417</v>
      </c>
      <c r="H76" s="197"/>
      <c r="I76" s="197">
        <v>9414.480077745384</v>
      </c>
      <c r="J76" s="197">
        <v>13362.487852283772</v>
      </c>
    </row>
    <row r="77">
      <c r="A77" s="38"/>
      <c r="B77" s="38"/>
      <c r="C77" s="244" t="s">
        <v>12</v>
      </c>
      <c r="D77" s="197">
        <v>15101.7253848908</v>
      </c>
      <c r="E77" s="197">
        <v>21567.276405298962</v>
      </c>
      <c r="F77" s="197">
        <v>17922.9615364943</v>
      </c>
      <c r="G77" s="197">
        <v>16343.758426678944</v>
      </c>
      <c r="H77" s="197"/>
      <c r="I77" s="197">
        <v>13974.95376195591</v>
      </c>
      <c r="J77" s="197">
        <v>17922.9615364943</v>
      </c>
    </row>
    <row r="78">
      <c r="A78" s="38"/>
      <c r="B78" s="38"/>
      <c r="C78" s="244" t="s">
        <v>13</v>
      </c>
      <c r="D78" s="197">
        <v>25898.2746151092</v>
      </c>
      <c r="E78" s="197">
        <v>26432.723594701038</v>
      </c>
      <c r="F78" s="197">
        <v>27077.0384635057</v>
      </c>
      <c r="G78" s="197">
        <v>26656.24157332106</v>
      </c>
      <c r="H78" s="197">
        <v>0.0</v>
      </c>
      <c r="I78" s="197">
        <v>25025.046238044088</v>
      </c>
      <c r="J78" s="197">
        <v>25077.0384635057</v>
      </c>
    </row>
    <row r="79">
      <c r="A79" s="38"/>
      <c r="B79" s="38"/>
      <c r="C79" s="237" t="s">
        <v>14</v>
      </c>
      <c r="D79" s="238">
        <v>0.3683347654851415</v>
      </c>
      <c r="E79" s="238">
        <v>0.44931825844372836</v>
      </c>
      <c r="F79" s="238">
        <v>0.39828803414431774</v>
      </c>
      <c r="G79" s="238">
        <v>0.38008740527160334</v>
      </c>
      <c r="H79" s="238"/>
      <c r="I79" s="238">
        <v>0.35833214774245925</v>
      </c>
      <c r="J79" s="238">
        <v>0.4168130589882395</v>
      </c>
    </row>
    <row r="80">
      <c r="A80" s="38"/>
      <c r="B80" s="38"/>
      <c r="C80" s="235" t="s">
        <v>19</v>
      </c>
      <c r="D80" s="243">
        <v>76000.0</v>
      </c>
      <c r="E80" s="243">
        <v>90000.0</v>
      </c>
      <c r="F80" s="243">
        <v>84000.0</v>
      </c>
      <c r="G80" s="243">
        <v>80000.0</v>
      </c>
      <c r="H80" s="236"/>
      <c r="I80" s="243">
        <v>72000.0</v>
      </c>
      <c r="J80" s="243">
        <v>80000.0</v>
      </c>
    </row>
    <row r="81">
      <c r="A81" s="38"/>
      <c r="B81" s="38"/>
      <c r="C81" s="244" t="s">
        <v>11</v>
      </c>
      <c r="D81" s="197">
        <v>21258.503401360547</v>
      </c>
      <c r="E81" s="197">
        <v>34013.60544217687</v>
      </c>
      <c r="F81" s="197">
        <v>26724.975704567543</v>
      </c>
      <c r="G81" s="197">
        <v>23566.569484936834</v>
      </c>
      <c r="H81" s="197"/>
      <c r="I81" s="197">
        <v>18828.960155490768</v>
      </c>
      <c r="J81" s="197">
        <v>26724.975704567543</v>
      </c>
    </row>
    <row r="82">
      <c r="A82" s="38"/>
      <c r="B82" s="38"/>
      <c r="C82" s="244" t="s">
        <v>12</v>
      </c>
      <c r="D82" s="197">
        <v>27120.4507697816</v>
      </c>
      <c r="E82" s="197">
        <v>39963.552810597925</v>
      </c>
      <c r="F82" s="197">
        <v>32674.923072988597</v>
      </c>
      <c r="G82" s="197">
        <v>29516.516853357887</v>
      </c>
      <c r="H82" s="197"/>
      <c r="I82" s="197">
        <v>24778.90752391182</v>
      </c>
      <c r="J82" s="197">
        <v>32674.923072988597</v>
      </c>
    </row>
    <row r="83">
      <c r="A83" s="38"/>
      <c r="B83" s="38"/>
      <c r="C83" s="244" t="s">
        <v>13</v>
      </c>
      <c r="D83" s="197">
        <v>48879.5492302184</v>
      </c>
      <c r="E83" s="197">
        <v>50036.447189402075</v>
      </c>
      <c r="F83" s="197">
        <v>51325.0769270114</v>
      </c>
      <c r="G83" s="197">
        <v>50483.48314664212</v>
      </c>
      <c r="H83" s="197">
        <v>0.0</v>
      </c>
      <c r="I83" s="197">
        <v>47221.092476088175</v>
      </c>
      <c r="J83" s="197">
        <v>47325.0769270114</v>
      </c>
    </row>
    <row r="84">
      <c r="A84" s="38"/>
      <c r="B84" s="38"/>
      <c r="C84" s="237" t="s">
        <v>14</v>
      </c>
      <c r="D84" s="238">
        <v>0.35684803644449475</v>
      </c>
      <c r="E84" s="238">
        <v>0.44403947567331026</v>
      </c>
      <c r="F84" s="238">
        <v>0.38898717944034045</v>
      </c>
      <c r="G84" s="238">
        <v>0.3689564606669736</v>
      </c>
      <c r="H84" s="238"/>
      <c r="I84" s="238">
        <v>0.34415149338766415</v>
      </c>
      <c r="J84" s="238">
        <v>0.40843653841235744</v>
      </c>
    </row>
    <row r="85">
      <c r="A85" s="240"/>
      <c r="B85" s="240"/>
      <c r="C85" s="240"/>
      <c r="D85" s="240"/>
      <c r="E85" s="240"/>
      <c r="F85" s="240"/>
      <c r="G85" s="240"/>
      <c r="H85" s="240"/>
      <c r="I85" s="240"/>
      <c r="J85" s="240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</row>
  </sheetData>
  <mergeCells count="6">
    <mergeCell ref="B2:C2"/>
    <mergeCell ref="A9:A14"/>
    <mergeCell ref="A17:A21"/>
    <mergeCell ref="A23:A28"/>
    <mergeCell ref="J23:J27"/>
    <mergeCell ref="A30:A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4.25"/>
    <col customWidth="1" min="3" max="3" width="90.63"/>
    <col customWidth="1" min="4" max="4" width="118.25"/>
    <col customWidth="1" min="5" max="5" width="22.25"/>
  </cols>
  <sheetData>
    <row r="4" ht="22.5" customHeight="1">
      <c r="B4" s="40" t="s">
        <v>195</v>
      </c>
      <c r="C4" s="40" t="s">
        <v>260</v>
      </c>
      <c r="D4" s="40" t="s">
        <v>71</v>
      </c>
    </row>
    <row r="5" ht="22.5" customHeight="1">
      <c r="B5" s="44" t="s">
        <v>261</v>
      </c>
      <c r="C5" s="246" t="s">
        <v>262</v>
      </c>
      <c r="D5" s="246" t="s">
        <v>263</v>
      </c>
    </row>
    <row r="6" ht="369.75" customHeight="1">
      <c r="B6" s="45" t="s">
        <v>264</v>
      </c>
      <c r="C6" s="44"/>
      <c r="D6" s="44"/>
    </row>
    <row r="9">
      <c r="C9" s="59" t="s">
        <v>265</v>
      </c>
      <c r="D9" s="247" t="s">
        <v>266</v>
      </c>
    </row>
    <row r="10">
      <c r="C10" s="59" t="s">
        <v>267</v>
      </c>
      <c r="D10" s="247" t="s">
        <v>268</v>
      </c>
    </row>
    <row r="12">
      <c r="C12" s="60"/>
      <c r="D12" s="60"/>
      <c r="E12" s="60"/>
    </row>
    <row r="13">
      <c r="C13" s="58"/>
      <c r="D13" s="58"/>
      <c r="E13" s="58"/>
    </row>
    <row r="14">
      <c r="C14" s="58"/>
      <c r="D14" s="58"/>
      <c r="E14" s="58"/>
    </row>
    <row r="15">
      <c r="C15" s="58"/>
      <c r="D15" s="58"/>
      <c r="E15" s="58"/>
    </row>
    <row r="16">
      <c r="C16" s="58"/>
      <c r="D16" s="58"/>
      <c r="E16" s="58"/>
    </row>
    <row r="17">
      <c r="C17" s="58"/>
      <c r="D17" s="58"/>
      <c r="E17" s="58"/>
    </row>
  </sheetData>
  <hyperlinks>
    <hyperlink r:id="rId1" ref="C5"/>
    <hyperlink r:id="rId2" ref="D5"/>
    <hyperlink r:id="rId3" ref="D9"/>
    <hyperlink r:id="rId4" ref="D10"/>
  </hyperlinks>
  <drawing r:id="rId5"/>
  <tableParts count="1">
    <tablePart r:id="rId7"/>
  </tableParts>
</worksheet>
</file>